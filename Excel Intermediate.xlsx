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New folder\DS\"/>
    </mc:Choice>
  </mc:AlternateContent>
  <xr:revisionPtr revIDLastSave="0" documentId="13_ncr:1_{B2FACB11-FCCD-49C3-9054-F8FE43FAF5C5}" xr6:coauthVersionLast="47" xr6:coauthVersionMax="47" xr10:uidLastSave="{00000000-0000-0000-0000-000000000000}"/>
  <bookViews>
    <workbookView xWindow="-108" yWindow="-108" windowWidth="23256" windowHeight="12456" firstSheet="1" activeTab="3" xr2:uid="{D9DA3B92-EA9D-4D6D-B182-005BE04732BE}"/>
  </bookViews>
  <sheets>
    <sheet name="Sum_Count_Average_if_ifs" sheetId="1" r:id="rId1"/>
    <sheet name="if_and_or" sheetId="3" r:id="rId2"/>
    <sheet name="Data" sheetId="4" r:id="rId3"/>
    <sheet name="Pivot Calculations" sheetId="5" r:id="rId4"/>
    <sheet name="Dashboards" sheetId="7" r:id="rId5"/>
  </sheets>
  <definedNames>
    <definedName name="Slicer_Is_it_Laptop_Sold_in_Jan_or_a_Phone_Sold_in_Feb">#N/A</definedName>
    <definedName name="Slicer_Month">#N/A</definedName>
  </definedNames>
  <calcPr calcId="191029"/>
  <pivotCaches>
    <pivotCache cacheId="4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3" i="3" l="1"/>
  <c r="I3" i="3"/>
  <c r="I4" i="3"/>
  <c r="I5" i="3"/>
  <c r="I6" i="3"/>
  <c r="I7" i="3"/>
  <c r="I8" i="3"/>
  <c r="I9" i="3"/>
  <c r="I10" i="3"/>
  <c r="I11" i="3"/>
  <c r="I12" i="3"/>
  <c r="I2" i="3"/>
  <c r="H18" i="3"/>
  <c r="H17" i="3"/>
  <c r="J18" i="3"/>
  <c r="J17" i="3"/>
  <c r="I18" i="3"/>
  <c r="I17" i="3"/>
  <c r="H3" i="3"/>
  <c r="H4" i="3"/>
  <c r="H5" i="3"/>
  <c r="H6" i="3"/>
  <c r="H7" i="3"/>
  <c r="H8" i="3"/>
  <c r="H9" i="3"/>
  <c r="H10" i="3"/>
  <c r="H11" i="3"/>
  <c r="H12" i="3"/>
  <c r="H2" i="3"/>
  <c r="G3" i="3"/>
  <c r="G4" i="3"/>
  <c r="G5" i="3"/>
  <c r="G6" i="3"/>
  <c r="G7" i="3"/>
  <c r="G8" i="3"/>
  <c r="G9" i="3"/>
  <c r="G10" i="3"/>
  <c r="G11" i="3"/>
  <c r="G12" i="3"/>
  <c r="G2" i="3"/>
  <c r="F3" i="3"/>
  <c r="F4" i="3"/>
  <c r="F5" i="3"/>
  <c r="F6" i="3"/>
  <c r="F7" i="3"/>
  <c r="F8" i="3"/>
  <c r="F9" i="3"/>
  <c r="F10" i="3"/>
  <c r="F11" i="3"/>
  <c r="F12" i="3"/>
  <c r="F2" i="3"/>
  <c r="H40" i="1"/>
  <c r="I36" i="1"/>
  <c r="J36" i="1"/>
  <c r="I37" i="1"/>
  <c r="J37" i="1"/>
  <c r="I38" i="1"/>
  <c r="J38" i="1"/>
  <c r="I39" i="1"/>
  <c r="J39" i="1"/>
  <c r="H37" i="1"/>
  <c r="H38" i="1"/>
  <c r="H39" i="1"/>
  <c r="H36" i="1"/>
  <c r="H32" i="1"/>
  <c r="D29" i="1"/>
  <c r="C29" i="1"/>
  <c r="J28" i="1"/>
  <c r="J29" i="1"/>
  <c r="J30" i="1"/>
  <c r="J31" i="1"/>
  <c r="I28" i="1"/>
  <c r="I29" i="1"/>
  <c r="I30" i="1"/>
  <c r="I31" i="1"/>
  <c r="H29" i="1"/>
  <c r="H30" i="1"/>
  <c r="H31" i="1"/>
  <c r="H28" i="1"/>
  <c r="D28" i="1"/>
  <c r="H24" i="1"/>
  <c r="I20" i="1"/>
  <c r="J20" i="1"/>
  <c r="I21" i="1"/>
  <c r="J21" i="1"/>
  <c r="I22" i="1"/>
  <c r="J22" i="1"/>
  <c r="I23" i="1"/>
  <c r="J23" i="1"/>
  <c r="H21" i="1"/>
  <c r="H22" i="1"/>
  <c r="H23" i="1"/>
  <c r="H20" i="1"/>
  <c r="I15" i="1"/>
  <c r="J15" i="1"/>
  <c r="H15" i="1"/>
  <c r="I11" i="1"/>
  <c r="I12" i="1"/>
  <c r="I13" i="1"/>
  <c r="J11" i="1"/>
  <c r="J12" i="1"/>
  <c r="J13" i="1"/>
  <c r="J10" i="1"/>
  <c r="I10" i="1"/>
  <c r="H11" i="1"/>
  <c r="H12" i="1"/>
  <c r="H13" i="1"/>
  <c r="H10" i="1"/>
  <c r="H3" i="1"/>
  <c r="H5" i="1"/>
</calcChain>
</file>

<file path=xl/sharedStrings.xml><?xml version="1.0" encoding="utf-8"?>
<sst xmlns="http://schemas.openxmlformats.org/spreadsheetml/2006/main" count="335" uniqueCount="62">
  <si>
    <t>Sales Person</t>
  </si>
  <si>
    <t>Region</t>
  </si>
  <si>
    <t>Product</t>
  </si>
  <si>
    <t>Month</t>
  </si>
  <si>
    <t>Revenue</t>
  </si>
  <si>
    <t>Rahul</t>
  </si>
  <si>
    <t>Rohan</t>
  </si>
  <si>
    <t>Sheetal</t>
  </si>
  <si>
    <t>Vaibhav</t>
  </si>
  <si>
    <t>Mike</t>
  </si>
  <si>
    <t>Alice</t>
  </si>
  <si>
    <t>Dave</t>
  </si>
  <si>
    <t>Carol</t>
  </si>
  <si>
    <t>Bob</t>
  </si>
  <si>
    <t>East</t>
  </si>
  <si>
    <t>West</t>
  </si>
  <si>
    <t>South</t>
  </si>
  <si>
    <t>North</t>
  </si>
  <si>
    <t>Laptop</t>
  </si>
  <si>
    <t>Phone</t>
  </si>
  <si>
    <t>Tablet</t>
  </si>
  <si>
    <t>Jan</t>
  </si>
  <si>
    <t>Mar</t>
  </si>
  <si>
    <t>Feb</t>
  </si>
  <si>
    <t>Total Revenue</t>
  </si>
  <si>
    <t>No or Sales Person</t>
  </si>
  <si>
    <t>Avg Revenue</t>
  </si>
  <si>
    <t>No of Region</t>
  </si>
  <si>
    <t>Region wise</t>
  </si>
  <si>
    <t>No. of Sales Person</t>
  </si>
  <si>
    <t>Average Revenue</t>
  </si>
  <si>
    <t>Count of Region</t>
  </si>
  <si>
    <t>Revenue &gt; 300</t>
  </si>
  <si>
    <t>Revenue &gt; 300 &amp; Product Laptop</t>
  </si>
  <si>
    <t>Month_Jan_Region_South_Rev&gt;=250</t>
  </si>
  <si>
    <t>A</t>
  </si>
  <si>
    <t>B</t>
  </si>
  <si>
    <t>If</t>
  </si>
  <si>
    <t>And</t>
  </si>
  <si>
    <t>or</t>
  </si>
  <si>
    <t>Is it Laptop Sold in Jan or a Phone Sold in Feb</t>
  </si>
  <si>
    <t>High</t>
  </si>
  <si>
    <t>Yes</t>
  </si>
  <si>
    <t>No</t>
  </si>
  <si>
    <t>Match</t>
  </si>
  <si>
    <t>NotMatch</t>
  </si>
  <si>
    <t>Low</t>
  </si>
  <si>
    <t>Row Labels</t>
  </si>
  <si>
    <t>Grand Total</t>
  </si>
  <si>
    <t>Sum of Revenue</t>
  </si>
  <si>
    <t>Column Labels</t>
  </si>
  <si>
    <t>East Total</t>
  </si>
  <si>
    <t>North Total</t>
  </si>
  <si>
    <t>South Total</t>
  </si>
  <si>
    <t>West Total</t>
  </si>
  <si>
    <t>Max of Revenue</t>
  </si>
  <si>
    <t>Sandeep</t>
  </si>
  <si>
    <t>Chocolates</t>
  </si>
  <si>
    <t>North-East</t>
  </si>
  <si>
    <t>Apr</t>
  </si>
  <si>
    <t>Kavya</t>
  </si>
  <si>
    <t>Smart Phone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</si>
</sst>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4"/>
      <color theme="1"/>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7" tint="0.59999389629810485"/>
        <bgColor indexed="64"/>
      </patternFill>
    </fill>
    <fill>
      <patternFill patternType="solid">
        <fgColor theme="2"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2">
    <xf numFmtId="0" fontId="0" fillId="0" borderId="0" xfId="0"/>
    <xf numFmtId="0" fontId="0" fillId="0" borderId="1" xfId="0" applyBorder="1"/>
    <xf numFmtId="0" fontId="0" fillId="2" borderId="1" xfId="0" applyFill="1" applyBorder="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3" borderId="1" xfId="0" applyFill="1" applyBorder="1"/>
    <xf numFmtId="0" fontId="0" fillId="4" borderId="1" xfId="0" applyFill="1" applyBorder="1"/>
    <xf numFmtId="0" fontId="0" fillId="0" borderId="5" xfId="0" applyFill="1" applyBorder="1"/>
    <xf numFmtId="0" fontId="0" fillId="2" borderId="5" xfId="0" applyFill="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2" fontId="0" fillId="0" borderId="0" xfId="0" applyNumberFormat="1"/>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 fillId="0" borderId="6" xfId="0" applyFont="1" applyBorder="1" applyAlignment="1">
      <alignment horizontal="center"/>
    </xf>
    <xf numFmtId="10" fontId="0" fillId="0" borderId="0" xfId="0" applyNumberFormat="1"/>
  </cellXfs>
  <cellStyles count="1">
    <cellStyle name="Normal" xfId="0" builtinId="0"/>
  </cellStyles>
  <dxfs count="3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Intermediate.xlsx]Pivot Calculations!PivotTable6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pieChart>
        <c:varyColors val="1"/>
        <c:ser>
          <c:idx val="0"/>
          <c:order val="0"/>
          <c:tx>
            <c:strRef>
              <c:f>'Pivot Calculations'!$B$12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AE-46CC-BD73-DE999398AC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AE-46CC-BD73-DE999398AC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AE-46CC-BD73-DE999398AC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AE-46CC-BD73-DE999398AC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7AE-46CC-BD73-DE999398AC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Calculations'!$A$13:$A$18</c:f>
              <c:strCache>
                <c:ptCount val="5"/>
                <c:pt idx="0">
                  <c:v>East</c:v>
                </c:pt>
                <c:pt idx="1">
                  <c:v>North</c:v>
                </c:pt>
                <c:pt idx="2">
                  <c:v>South</c:v>
                </c:pt>
                <c:pt idx="3">
                  <c:v>West</c:v>
                </c:pt>
                <c:pt idx="4">
                  <c:v>North-East</c:v>
                </c:pt>
              </c:strCache>
            </c:strRef>
          </c:cat>
          <c:val>
            <c:numRef>
              <c:f>'Pivot Calculations'!$B$13:$B$18</c:f>
              <c:numCache>
                <c:formatCode>0.00%</c:formatCode>
                <c:ptCount val="5"/>
                <c:pt idx="0">
                  <c:v>0.159</c:v>
                </c:pt>
                <c:pt idx="1">
                  <c:v>0.20749999999999999</c:v>
                </c:pt>
                <c:pt idx="2">
                  <c:v>0.17299999999999999</c:v>
                </c:pt>
                <c:pt idx="3">
                  <c:v>0.2205</c:v>
                </c:pt>
                <c:pt idx="4">
                  <c:v>1</c:v>
                </c:pt>
              </c:numCache>
            </c:numRef>
          </c:val>
          <c:extLst>
            <c:ext xmlns:c16="http://schemas.microsoft.com/office/drawing/2014/chart" uri="{C3380CC4-5D6E-409C-BE32-E72D297353CC}">
              <c16:uniqueId val="{0000000A-37AE-46CC-BD73-DE999398ACC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Intermediate.xlsx]Pivot Calculations!PivotTable5</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Calculations'!$E$3:$E$4</c:f>
              <c:strCache>
                <c:ptCount val="1"/>
                <c:pt idx="0">
                  <c:v>Jan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Calculations'!$D$5:$D$10</c:f>
              <c:strCache>
                <c:ptCount val="5"/>
                <c:pt idx="0">
                  <c:v>East</c:v>
                </c:pt>
                <c:pt idx="1">
                  <c:v>North</c:v>
                </c:pt>
                <c:pt idx="2">
                  <c:v>South</c:v>
                </c:pt>
                <c:pt idx="3">
                  <c:v>West</c:v>
                </c:pt>
                <c:pt idx="4">
                  <c:v>North-East</c:v>
                </c:pt>
              </c:strCache>
            </c:strRef>
          </c:cat>
          <c:val>
            <c:numRef>
              <c:f>'Pivot Calculations'!$E$5:$E$10</c:f>
              <c:numCache>
                <c:formatCode>General</c:formatCode>
                <c:ptCount val="5"/>
                <c:pt idx="0">
                  <c:v>318</c:v>
                </c:pt>
                <c:pt idx="1">
                  <c:v>189</c:v>
                </c:pt>
                <c:pt idx="2">
                  <c:v>346</c:v>
                </c:pt>
                <c:pt idx="3">
                  <c:v>282</c:v>
                </c:pt>
              </c:numCache>
            </c:numRef>
          </c:val>
          <c:extLst>
            <c:ext xmlns:c16="http://schemas.microsoft.com/office/drawing/2014/chart" uri="{C3380CC4-5D6E-409C-BE32-E72D297353CC}">
              <c16:uniqueId val="{00000000-59F2-4D0C-B945-973A9275403F}"/>
            </c:ext>
          </c:extLst>
        </c:ser>
        <c:ser>
          <c:idx val="1"/>
          <c:order val="1"/>
          <c:tx>
            <c:strRef>
              <c:f>'Pivot Calculations'!$F$3:$F$4</c:f>
              <c:strCache>
                <c:ptCount val="1"/>
                <c:pt idx="0">
                  <c:v>Feb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Calculations'!$D$5:$D$10</c:f>
              <c:strCache>
                <c:ptCount val="5"/>
                <c:pt idx="0">
                  <c:v>East</c:v>
                </c:pt>
                <c:pt idx="1">
                  <c:v>North</c:v>
                </c:pt>
                <c:pt idx="2">
                  <c:v>South</c:v>
                </c:pt>
                <c:pt idx="3">
                  <c:v>West</c:v>
                </c:pt>
                <c:pt idx="4">
                  <c:v>North-East</c:v>
                </c:pt>
              </c:strCache>
            </c:strRef>
          </c:cat>
          <c:val>
            <c:numRef>
              <c:f>'Pivot Calculations'!$F$5:$F$10</c:f>
              <c:numCache>
                <c:formatCode>General</c:formatCode>
                <c:ptCount val="5"/>
                <c:pt idx="0">
                  <c:v>540</c:v>
                </c:pt>
                <c:pt idx="1">
                  <c:v>415</c:v>
                </c:pt>
              </c:numCache>
            </c:numRef>
          </c:val>
          <c:extLst>
            <c:ext xmlns:c16="http://schemas.microsoft.com/office/drawing/2014/chart" uri="{C3380CC4-5D6E-409C-BE32-E72D297353CC}">
              <c16:uniqueId val="{00000001-59F2-4D0C-B945-973A9275403F}"/>
            </c:ext>
          </c:extLst>
        </c:ser>
        <c:ser>
          <c:idx val="2"/>
          <c:order val="2"/>
          <c:tx>
            <c:strRef>
              <c:f>'Pivot Calculations'!$G$3:$G$4</c:f>
              <c:strCache>
                <c:ptCount val="1"/>
                <c:pt idx="0">
                  <c:v>Mar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Calculations'!$D$5:$D$10</c:f>
              <c:strCache>
                <c:ptCount val="5"/>
                <c:pt idx="0">
                  <c:v>East</c:v>
                </c:pt>
                <c:pt idx="1">
                  <c:v>North</c:v>
                </c:pt>
                <c:pt idx="2">
                  <c:v>South</c:v>
                </c:pt>
                <c:pt idx="3">
                  <c:v>West</c:v>
                </c:pt>
                <c:pt idx="4">
                  <c:v>North-East</c:v>
                </c:pt>
              </c:strCache>
            </c:strRef>
          </c:cat>
          <c:val>
            <c:numRef>
              <c:f>'Pivot Calculations'!$G$5:$G$10</c:f>
              <c:numCache>
                <c:formatCode>General</c:formatCode>
                <c:ptCount val="5"/>
                <c:pt idx="0">
                  <c:v>196</c:v>
                </c:pt>
                <c:pt idx="3">
                  <c:v>978</c:v>
                </c:pt>
                <c:pt idx="4">
                  <c:v>1440</c:v>
                </c:pt>
              </c:numCache>
            </c:numRef>
          </c:val>
          <c:extLst>
            <c:ext xmlns:c16="http://schemas.microsoft.com/office/drawing/2014/chart" uri="{C3380CC4-5D6E-409C-BE32-E72D297353CC}">
              <c16:uniqueId val="{00000002-59F2-4D0C-B945-973A9275403F}"/>
            </c:ext>
          </c:extLst>
        </c:ser>
        <c:ser>
          <c:idx val="3"/>
          <c:order val="3"/>
          <c:tx>
            <c:strRef>
              <c:f>'Pivot Calculations'!$H$3:$H$4</c:f>
              <c:strCache>
                <c:ptCount val="1"/>
                <c:pt idx="0">
                  <c:v>Apr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Calculations'!$D$5:$D$10</c:f>
              <c:strCache>
                <c:ptCount val="5"/>
                <c:pt idx="0">
                  <c:v>East</c:v>
                </c:pt>
                <c:pt idx="1">
                  <c:v>North</c:v>
                </c:pt>
                <c:pt idx="2">
                  <c:v>South</c:v>
                </c:pt>
                <c:pt idx="3">
                  <c:v>West</c:v>
                </c:pt>
                <c:pt idx="4">
                  <c:v>North-East</c:v>
                </c:pt>
              </c:strCache>
            </c:strRef>
          </c:cat>
          <c:val>
            <c:numRef>
              <c:f>'Pivot Calculations'!$H$5:$H$10</c:f>
              <c:numCache>
                <c:formatCode>General</c:formatCode>
                <c:ptCount val="5"/>
                <c:pt idx="4">
                  <c:v>2000</c:v>
                </c:pt>
              </c:numCache>
            </c:numRef>
          </c:val>
          <c:extLst>
            <c:ext xmlns:c16="http://schemas.microsoft.com/office/drawing/2014/chart" uri="{C3380CC4-5D6E-409C-BE32-E72D297353CC}">
              <c16:uniqueId val="{00000003-59F2-4D0C-B945-973A9275403F}"/>
            </c:ext>
          </c:extLst>
        </c:ser>
        <c:dLbls>
          <c:dLblPos val="outEnd"/>
          <c:showLegendKey val="0"/>
          <c:showVal val="1"/>
          <c:showCatName val="0"/>
          <c:showSerName val="0"/>
          <c:showPercent val="0"/>
          <c:showBubbleSize val="0"/>
        </c:dLbls>
        <c:gapWidth val="219"/>
        <c:overlap val="-27"/>
        <c:axId val="1413852208"/>
        <c:axId val="1413849808"/>
      </c:barChart>
      <c:catAx>
        <c:axId val="141385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849808"/>
        <c:crosses val="autoZero"/>
        <c:auto val="1"/>
        <c:lblAlgn val="ctr"/>
        <c:lblOffset val="100"/>
        <c:noMultiLvlLbl val="0"/>
      </c:catAx>
      <c:valAx>
        <c:axId val="141384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85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Intermediate.xlsx]Pivot Calculations!PivotTable10</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Calculations'!$F$24:$F$25</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Calculations'!$E$26:$E$30</c:f>
              <c:strCache>
                <c:ptCount val="4"/>
                <c:pt idx="0">
                  <c:v>Laptop</c:v>
                </c:pt>
                <c:pt idx="1">
                  <c:v>Phone</c:v>
                </c:pt>
                <c:pt idx="2">
                  <c:v>Tablet</c:v>
                </c:pt>
                <c:pt idx="3">
                  <c:v>Chocolates</c:v>
                </c:pt>
              </c:strCache>
            </c:strRef>
          </c:cat>
          <c:val>
            <c:numRef>
              <c:f>'Pivot Calculations'!$F$26:$F$30</c:f>
              <c:numCache>
                <c:formatCode>General</c:formatCode>
                <c:ptCount val="4"/>
                <c:pt idx="0">
                  <c:v>569</c:v>
                </c:pt>
                <c:pt idx="1">
                  <c:v>289</c:v>
                </c:pt>
                <c:pt idx="2">
                  <c:v>196</c:v>
                </c:pt>
              </c:numCache>
            </c:numRef>
          </c:val>
          <c:extLst>
            <c:ext xmlns:c16="http://schemas.microsoft.com/office/drawing/2014/chart" uri="{C3380CC4-5D6E-409C-BE32-E72D297353CC}">
              <c16:uniqueId val="{00000000-A382-4345-98C2-4D0E09D52C1D}"/>
            </c:ext>
          </c:extLst>
        </c:ser>
        <c:ser>
          <c:idx val="1"/>
          <c:order val="1"/>
          <c:tx>
            <c:strRef>
              <c:f>'Pivot Calculations'!$G$24:$G$25</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Calculations'!$E$26:$E$30</c:f>
              <c:strCache>
                <c:ptCount val="4"/>
                <c:pt idx="0">
                  <c:v>Laptop</c:v>
                </c:pt>
                <c:pt idx="1">
                  <c:v>Phone</c:v>
                </c:pt>
                <c:pt idx="2">
                  <c:v>Tablet</c:v>
                </c:pt>
                <c:pt idx="3">
                  <c:v>Chocolates</c:v>
                </c:pt>
              </c:strCache>
            </c:strRef>
          </c:cat>
          <c:val>
            <c:numRef>
              <c:f>'Pivot Calculations'!$G$26:$G$30</c:f>
              <c:numCache>
                <c:formatCode>General</c:formatCode>
                <c:ptCount val="4"/>
                <c:pt idx="0">
                  <c:v>189</c:v>
                </c:pt>
                <c:pt idx="1">
                  <c:v>415</c:v>
                </c:pt>
              </c:numCache>
            </c:numRef>
          </c:val>
          <c:extLst>
            <c:ext xmlns:c16="http://schemas.microsoft.com/office/drawing/2014/chart" uri="{C3380CC4-5D6E-409C-BE32-E72D297353CC}">
              <c16:uniqueId val="{00000001-A382-4345-98C2-4D0E09D52C1D}"/>
            </c:ext>
          </c:extLst>
        </c:ser>
        <c:ser>
          <c:idx val="2"/>
          <c:order val="2"/>
          <c:tx>
            <c:strRef>
              <c:f>'Pivot Calculations'!$H$24:$H$25</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Calculations'!$E$26:$E$30</c:f>
              <c:strCache>
                <c:ptCount val="4"/>
                <c:pt idx="0">
                  <c:v>Laptop</c:v>
                </c:pt>
                <c:pt idx="1">
                  <c:v>Phone</c:v>
                </c:pt>
                <c:pt idx="2">
                  <c:v>Tablet</c:v>
                </c:pt>
                <c:pt idx="3">
                  <c:v>Chocolates</c:v>
                </c:pt>
              </c:strCache>
            </c:strRef>
          </c:cat>
          <c:val>
            <c:numRef>
              <c:f>'Pivot Calculations'!$H$26:$H$30</c:f>
              <c:numCache>
                <c:formatCode>General</c:formatCode>
                <c:ptCount val="4"/>
                <c:pt idx="2">
                  <c:v>346</c:v>
                </c:pt>
              </c:numCache>
            </c:numRef>
          </c:val>
          <c:extLst>
            <c:ext xmlns:c16="http://schemas.microsoft.com/office/drawing/2014/chart" uri="{C3380CC4-5D6E-409C-BE32-E72D297353CC}">
              <c16:uniqueId val="{00000002-A382-4345-98C2-4D0E09D52C1D}"/>
            </c:ext>
          </c:extLst>
        </c:ser>
        <c:ser>
          <c:idx val="3"/>
          <c:order val="3"/>
          <c:tx>
            <c:strRef>
              <c:f>'Pivot Calculations'!$I$24:$I$25</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Calculations'!$E$26:$E$30</c:f>
              <c:strCache>
                <c:ptCount val="4"/>
                <c:pt idx="0">
                  <c:v>Laptop</c:v>
                </c:pt>
                <c:pt idx="1">
                  <c:v>Phone</c:v>
                </c:pt>
                <c:pt idx="2">
                  <c:v>Tablet</c:v>
                </c:pt>
                <c:pt idx="3">
                  <c:v>Chocolates</c:v>
                </c:pt>
              </c:strCache>
            </c:strRef>
          </c:cat>
          <c:val>
            <c:numRef>
              <c:f>'Pivot Calculations'!$I$26:$I$30</c:f>
              <c:numCache>
                <c:formatCode>General</c:formatCode>
                <c:ptCount val="4"/>
                <c:pt idx="0">
                  <c:v>282</c:v>
                </c:pt>
                <c:pt idx="1">
                  <c:v>386</c:v>
                </c:pt>
                <c:pt idx="2">
                  <c:v>592</c:v>
                </c:pt>
              </c:numCache>
            </c:numRef>
          </c:val>
          <c:extLst>
            <c:ext xmlns:c16="http://schemas.microsoft.com/office/drawing/2014/chart" uri="{C3380CC4-5D6E-409C-BE32-E72D297353CC}">
              <c16:uniqueId val="{00000003-A382-4345-98C2-4D0E09D52C1D}"/>
            </c:ext>
          </c:extLst>
        </c:ser>
        <c:ser>
          <c:idx val="4"/>
          <c:order val="4"/>
          <c:tx>
            <c:strRef>
              <c:f>'Pivot Calculations'!$J$24:$J$25</c:f>
              <c:strCache>
                <c:ptCount val="1"/>
                <c:pt idx="0">
                  <c:v>North-East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Calculations'!$E$26:$E$30</c:f>
              <c:strCache>
                <c:ptCount val="4"/>
                <c:pt idx="0">
                  <c:v>Laptop</c:v>
                </c:pt>
                <c:pt idx="1">
                  <c:v>Phone</c:v>
                </c:pt>
                <c:pt idx="2">
                  <c:v>Tablet</c:v>
                </c:pt>
                <c:pt idx="3">
                  <c:v>Chocolates</c:v>
                </c:pt>
              </c:strCache>
            </c:strRef>
          </c:cat>
          <c:val>
            <c:numRef>
              <c:f>'Pivot Calculations'!$J$26:$J$30</c:f>
              <c:numCache>
                <c:formatCode>General</c:formatCode>
                <c:ptCount val="4"/>
                <c:pt idx="3">
                  <c:v>3440</c:v>
                </c:pt>
              </c:numCache>
            </c:numRef>
          </c:val>
          <c:extLst>
            <c:ext xmlns:c16="http://schemas.microsoft.com/office/drawing/2014/chart" uri="{C3380CC4-5D6E-409C-BE32-E72D297353CC}">
              <c16:uniqueId val="{00000004-A382-4345-98C2-4D0E09D52C1D}"/>
            </c:ext>
          </c:extLst>
        </c:ser>
        <c:dLbls>
          <c:dLblPos val="outEnd"/>
          <c:showLegendKey val="0"/>
          <c:showVal val="1"/>
          <c:showCatName val="0"/>
          <c:showSerName val="0"/>
          <c:showPercent val="0"/>
          <c:showBubbleSize val="0"/>
        </c:dLbls>
        <c:gapWidth val="182"/>
        <c:axId val="1367155152"/>
        <c:axId val="1367151792"/>
      </c:barChart>
      <c:catAx>
        <c:axId val="136715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151792"/>
        <c:crosses val="autoZero"/>
        <c:auto val="1"/>
        <c:lblAlgn val="ctr"/>
        <c:lblOffset val="100"/>
        <c:noMultiLvlLbl val="0"/>
      </c:catAx>
      <c:valAx>
        <c:axId val="1367151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15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30480</xdr:rowOff>
    </xdr:from>
    <xdr:to>
      <xdr:col>5</xdr:col>
      <xdr:colOff>182880</xdr:colOff>
      <xdr:row>18</xdr:row>
      <xdr:rowOff>106680</xdr:rowOff>
    </xdr:to>
    <xdr:graphicFrame macro="">
      <xdr:nvGraphicFramePr>
        <xdr:cNvPr id="17" name="Chart 16">
          <a:extLst>
            <a:ext uri="{FF2B5EF4-FFF2-40B4-BE49-F238E27FC236}">
              <a16:creationId xmlns:a16="http://schemas.microsoft.com/office/drawing/2014/main" id="{D825D1C9-47FD-4069-89A1-5058DAB5A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137160</xdr:colOff>
      <xdr:row>5</xdr:row>
      <xdr:rowOff>30480</xdr:rowOff>
    </xdr:from>
    <xdr:to>
      <xdr:col>12</xdr:col>
      <xdr:colOff>350520</xdr:colOff>
      <xdr:row>18</xdr:row>
      <xdr:rowOff>121920</xdr:rowOff>
    </xdr:to>
    <xdr:graphicFrame macro="">
      <xdr:nvGraphicFramePr>
        <xdr:cNvPr id="18" name="Chart 17">
          <a:extLst>
            <a:ext uri="{FF2B5EF4-FFF2-40B4-BE49-F238E27FC236}">
              <a16:creationId xmlns:a16="http://schemas.microsoft.com/office/drawing/2014/main" id="{B42D70EC-2844-48D9-8A21-6E0FB14DD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xdr:colOff>
      <xdr:row>19</xdr:row>
      <xdr:rowOff>83820</xdr:rowOff>
    </xdr:from>
    <xdr:to>
      <xdr:col>16</xdr:col>
      <xdr:colOff>106680</xdr:colOff>
      <xdr:row>34</xdr:row>
      <xdr:rowOff>83820</xdr:rowOff>
    </xdr:to>
    <xdr:graphicFrame macro="">
      <xdr:nvGraphicFramePr>
        <xdr:cNvPr id="19" name="Chart 18">
          <a:extLst>
            <a:ext uri="{FF2B5EF4-FFF2-40B4-BE49-F238E27FC236}">
              <a16:creationId xmlns:a16="http://schemas.microsoft.com/office/drawing/2014/main" id="{F8005046-FC65-4D32-9AFE-1574E5844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30480</xdr:colOff>
      <xdr:row>5</xdr:row>
      <xdr:rowOff>0</xdr:rowOff>
    </xdr:from>
    <xdr:to>
      <xdr:col>16</xdr:col>
      <xdr:colOff>30480</xdr:colOff>
      <xdr:row>13</xdr:row>
      <xdr:rowOff>0</xdr:rowOff>
    </xdr:to>
    <mc:AlternateContent xmlns:mc="http://schemas.openxmlformats.org/markup-compatibility/2006">
      <mc:Choice xmlns:a14="http://schemas.microsoft.com/office/drawing/2010/main" Requires="a14">
        <xdr:graphicFrame macro="">
          <xdr:nvGraphicFramePr>
            <xdr:cNvPr id="20" name="Month">
              <a:extLst>
                <a:ext uri="{FF2B5EF4-FFF2-40B4-BE49-F238E27FC236}">
                  <a16:creationId xmlns:a16="http://schemas.microsoft.com/office/drawing/2014/main" id="{A115A3B2-7E2D-4812-825B-F09F36FFC6F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955280" y="922020"/>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xdr:colOff>
      <xdr:row>13</xdr:row>
      <xdr:rowOff>38101</xdr:rowOff>
    </xdr:from>
    <xdr:to>
      <xdr:col>16</xdr:col>
      <xdr:colOff>7620</xdr:colOff>
      <xdr:row>18</xdr:row>
      <xdr:rowOff>60960</xdr:rowOff>
    </xdr:to>
    <mc:AlternateContent xmlns:mc="http://schemas.openxmlformats.org/markup-compatibility/2006">
      <mc:Choice xmlns:a14="http://schemas.microsoft.com/office/drawing/2010/main" Requires="a14">
        <xdr:graphicFrame macro="">
          <xdr:nvGraphicFramePr>
            <xdr:cNvPr id="21" name="Is it Laptop Sold in Jan or a Phone Sold in Feb">
              <a:extLst>
                <a:ext uri="{FF2B5EF4-FFF2-40B4-BE49-F238E27FC236}">
                  <a16:creationId xmlns:a16="http://schemas.microsoft.com/office/drawing/2014/main" id="{0EB1707C-8A8B-4902-89C8-B8A82F6F3B58}"/>
                </a:ext>
              </a:extLst>
            </xdr:cNvPr>
            <xdr:cNvGraphicFramePr/>
          </xdr:nvGraphicFramePr>
          <xdr:xfrm>
            <a:off x="0" y="0"/>
            <a:ext cx="0" cy="0"/>
          </xdr:xfrm>
          <a:graphic>
            <a:graphicData uri="http://schemas.microsoft.com/office/drawing/2010/slicer">
              <sle:slicer xmlns:sle="http://schemas.microsoft.com/office/drawing/2010/slicer" name="Is it Laptop Sold in Jan or a Phone Sold in Feb"/>
            </a:graphicData>
          </a:graphic>
        </xdr:graphicFrame>
      </mc:Choice>
      <mc:Fallback>
        <xdr:sp macro="" textlink="">
          <xdr:nvSpPr>
            <xdr:cNvPr id="0" name=""/>
            <xdr:cNvSpPr>
              <a:spLocks noTextEdit="1"/>
            </xdr:cNvSpPr>
          </xdr:nvSpPr>
          <xdr:spPr>
            <a:xfrm>
              <a:off x="7932420" y="2423161"/>
              <a:ext cx="1828800" cy="937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eep Patel" refreshedDate="46114.064552777774" createdVersion="8" refreshedVersion="8" minRefreshableVersion="3" recordCount="13" xr:uid="{BF814B2F-BB48-4E36-8929-604D8517ADAE}">
  <cacheSource type="worksheet">
    <worksheetSource name="Table1"/>
  </cacheSource>
  <cacheFields count="9">
    <cacheField name="Sales Person" numFmtId="0">
      <sharedItems count="11">
        <s v="Rahul"/>
        <s v="Rohan"/>
        <s v="Sheetal"/>
        <s v="Vaibhav"/>
        <s v="Mike"/>
        <s v="Alice"/>
        <s v="Dave"/>
        <s v="Carol"/>
        <s v="Bob"/>
        <s v="Sandeep"/>
        <s v="Kavya"/>
      </sharedItems>
    </cacheField>
    <cacheField name="Region" numFmtId="0">
      <sharedItems count="6">
        <s v="East"/>
        <s v="West"/>
        <s v="South"/>
        <s v="North"/>
        <s v="North-East"/>
        <s v="North_East" u="1"/>
      </sharedItems>
    </cacheField>
    <cacheField name="Product" numFmtId="0">
      <sharedItems count="4">
        <s v="Laptop"/>
        <s v="Phone"/>
        <s v="Tablet"/>
        <s v="Chocolates"/>
      </sharedItems>
    </cacheField>
    <cacheField name="Month" numFmtId="0">
      <sharedItems count="4">
        <s v="Jan"/>
        <s v="Mar"/>
        <s v="Feb"/>
        <s v="Apr"/>
      </sharedItems>
    </cacheField>
    <cacheField name="Revenue" numFmtId="0">
      <sharedItems containsSemiMixedTypes="0" containsString="0" containsNumber="1" containsInteger="1" minValue="151" maxValue="2000"/>
    </cacheField>
    <cacheField name="Revenue &gt; 300" numFmtId="0">
      <sharedItems/>
    </cacheField>
    <cacheField name="Revenue &gt; 300 &amp; Product Laptop" numFmtId="0">
      <sharedItems/>
    </cacheField>
    <cacheField name="Month_Jan_Region_South_Rev&gt;=250" numFmtId="0">
      <sharedItems/>
    </cacheField>
    <cacheField name="Is it Laptop Sold in Jan or a Phone Sold in Feb" numFmtId="0">
      <sharedItems count="2">
        <s v="Match"/>
        <s v="NotMatch"/>
      </sharedItems>
    </cacheField>
  </cacheFields>
  <extLst>
    <ext xmlns:x14="http://schemas.microsoft.com/office/spreadsheetml/2009/9/main" uri="{725AE2AE-9491-48be-B2B4-4EB974FC3084}">
      <x14:pivotCacheDefinition pivotCacheId="2466242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x v="0"/>
    <x v="0"/>
    <n v="318"/>
    <s v="High"/>
    <s v="Yes"/>
    <s v="No"/>
    <x v="0"/>
  </r>
  <r>
    <x v="1"/>
    <x v="1"/>
    <x v="1"/>
    <x v="1"/>
    <n v="386"/>
    <s v="High"/>
    <s v="No"/>
    <s v="No"/>
    <x v="1"/>
  </r>
  <r>
    <x v="2"/>
    <x v="0"/>
    <x v="0"/>
    <x v="2"/>
    <n v="251"/>
    <s v="Low"/>
    <s v="No"/>
    <s v="No"/>
    <x v="1"/>
  </r>
  <r>
    <x v="3"/>
    <x v="2"/>
    <x v="2"/>
    <x v="0"/>
    <n v="346"/>
    <s v="High"/>
    <s v="No"/>
    <s v="Yes"/>
    <x v="1"/>
  </r>
  <r>
    <x v="4"/>
    <x v="1"/>
    <x v="2"/>
    <x v="1"/>
    <n v="151"/>
    <s v="Low"/>
    <s v="No"/>
    <s v="No"/>
    <x v="1"/>
  </r>
  <r>
    <x v="5"/>
    <x v="0"/>
    <x v="1"/>
    <x v="2"/>
    <n v="289"/>
    <s v="Low"/>
    <s v="No"/>
    <s v="No"/>
    <x v="0"/>
  </r>
  <r>
    <x v="6"/>
    <x v="3"/>
    <x v="0"/>
    <x v="0"/>
    <n v="189"/>
    <s v="Low"/>
    <s v="No"/>
    <s v="No"/>
    <x v="0"/>
  </r>
  <r>
    <x v="7"/>
    <x v="1"/>
    <x v="2"/>
    <x v="1"/>
    <n v="441"/>
    <s v="High"/>
    <s v="No"/>
    <s v="No"/>
    <x v="1"/>
  </r>
  <r>
    <x v="8"/>
    <x v="0"/>
    <x v="2"/>
    <x v="1"/>
    <n v="196"/>
    <s v="Low"/>
    <s v="No"/>
    <s v="No"/>
    <x v="1"/>
  </r>
  <r>
    <x v="5"/>
    <x v="3"/>
    <x v="1"/>
    <x v="2"/>
    <n v="415"/>
    <s v="High"/>
    <s v="No"/>
    <s v="No"/>
    <x v="0"/>
  </r>
  <r>
    <x v="8"/>
    <x v="1"/>
    <x v="0"/>
    <x v="0"/>
    <n v="282"/>
    <s v="Low"/>
    <s v="No"/>
    <s v="No"/>
    <x v="0"/>
  </r>
  <r>
    <x v="9"/>
    <x v="4"/>
    <x v="3"/>
    <x v="1"/>
    <n v="1440"/>
    <s v="Low"/>
    <s v="No"/>
    <s v="No"/>
    <x v="0"/>
  </r>
  <r>
    <x v="10"/>
    <x v="4"/>
    <x v="3"/>
    <x v="3"/>
    <n v="2000"/>
    <s v="Low"/>
    <s v="No"/>
    <s v="No"/>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BFD718-4316-4EB0-A25A-108D29829F7A}" name="PivotTable1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1:B27" firstHeaderRow="1" firstDataRow="1" firstDataCol="1"/>
  <pivotFields count="9">
    <pivotField showAll="0"/>
    <pivotField axis="axisRow" showAll="0">
      <items count="7">
        <item x="0"/>
        <item x="3"/>
        <item x="2"/>
        <item x="1"/>
        <item m="1" x="5"/>
        <item x="4"/>
        <item t="default"/>
      </items>
    </pivotField>
    <pivotField showAll="0"/>
    <pivotField showAll="0">
      <items count="5">
        <item x="0"/>
        <item x="2"/>
        <item x="1"/>
        <item x="3"/>
        <item t="default"/>
      </items>
    </pivotField>
    <pivotField dataField="1" showAll="0"/>
    <pivotField showAll="0"/>
    <pivotField showAll="0"/>
    <pivotField showAll="0"/>
    <pivotField showAll="0">
      <items count="3">
        <item x="0"/>
        <item x="1"/>
        <item t="default"/>
      </items>
    </pivotField>
  </pivotFields>
  <rowFields count="1">
    <field x="1"/>
  </rowFields>
  <rowItems count="6">
    <i>
      <x/>
    </i>
    <i>
      <x v="1"/>
    </i>
    <i>
      <x v="2"/>
    </i>
    <i>
      <x v="3"/>
    </i>
    <i>
      <x v="5"/>
    </i>
    <i t="grand">
      <x/>
    </i>
  </rowItems>
  <colItems count="1">
    <i/>
  </colItems>
  <dataFields count="1">
    <dataField name="Max of Revenue" fld="4" subtotal="max" baseField="1" baseItem="0"/>
  </dataFields>
  <chartFormats count="17">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1" count="1" selected="0">
            <x v="0"/>
          </reference>
        </references>
      </pivotArea>
    </chartFormat>
    <chartFormat chart="7" format="19">
      <pivotArea type="data" outline="0" fieldPosition="0">
        <references count="2">
          <reference field="4294967294" count="1" selected="0">
            <x v="0"/>
          </reference>
          <reference field="1" count="1" selected="0">
            <x v="1"/>
          </reference>
        </references>
      </pivotArea>
    </chartFormat>
    <chartFormat chart="7" format="20">
      <pivotArea type="data" outline="0" fieldPosition="0">
        <references count="2">
          <reference field="4294967294" count="1" selected="0">
            <x v="0"/>
          </reference>
          <reference field="1" count="1" selected="0">
            <x v="2"/>
          </reference>
        </references>
      </pivotArea>
    </chartFormat>
    <chartFormat chart="7" format="21">
      <pivotArea type="data" outline="0" fieldPosition="0">
        <references count="2">
          <reference field="4294967294" count="1" selected="0">
            <x v="0"/>
          </reference>
          <reference field="1" count="1" selected="0">
            <x v="3"/>
          </reference>
        </references>
      </pivotArea>
    </chartFormat>
    <chartFormat chart="7" format="22">
      <pivotArea type="data" outline="0" fieldPosition="0">
        <references count="2">
          <reference field="4294967294" count="1" selected="0">
            <x v="0"/>
          </reference>
          <reference field="1" count="1" selected="0">
            <x v="5"/>
          </reference>
        </references>
      </pivotArea>
    </chartFormat>
    <chartFormat chart="9" format="29" series="1">
      <pivotArea type="data" outline="0" fieldPosition="0">
        <references count="1">
          <reference field="4294967294" count="1" selected="0">
            <x v="0"/>
          </reference>
        </references>
      </pivotArea>
    </chartFormat>
    <chartFormat chart="9" format="30">
      <pivotArea type="data" outline="0" fieldPosition="0">
        <references count="2">
          <reference field="4294967294" count="1" selected="0">
            <x v="0"/>
          </reference>
          <reference field="1" count="1" selected="0">
            <x v="0"/>
          </reference>
        </references>
      </pivotArea>
    </chartFormat>
    <chartFormat chart="9" format="31">
      <pivotArea type="data" outline="0" fieldPosition="0">
        <references count="2">
          <reference field="4294967294" count="1" selected="0">
            <x v="0"/>
          </reference>
          <reference field="1" count="1" selected="0">
            <x v="1"/>
          </reference>
        </references>
      </pivotArea>
    </chartFormat>
    <chartFormat chart="9" format="32">
      <pivotArea type="data" outline="0" fieldPosition="0">
        <references count="2">
          <reference field="4294967294" count="1" selected="0">
            <x v="0"/>
          </reference>
          <reference field="1" count="1" selected="0">
            <x v="2"/>
          </reference>
        </references>
      </pivotArea>
    </chartFormat>
    <chartFormat chart="9" format="33">
      <pivotArea type="data" outline="0" fieldPosition="0">
        <references count="2">
          <reference field="4294967294" count="1" selected="0">
            <x v="0"/>
          </reference>
          <reference field="1" count="1" selected="0">
            <x v="3"/>
          </reference>
        </references>
      </pivotArea>
    </chartFormat>
    <chartFormat chart="9" format="3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3DC3D9-AD6D-41A3-A8E6-A4EAFAA005F0}" name="PivotTable10" cacheId="4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8">
  <location ref="E24:J30" firstHeaderRow="1" firstDataRow="2" firstDataCol="1"/>
  <pivotFields count="9">
    <pivotField showAll="0"/>
    <pivotField axis="axisCol" showAll="0">
      <items count="7">
        <item x="0"/>
        <item x="3"/>
        <item x="2"/>
        <item x="1"/>
        <item m="1" x="5"/>
        <item x="4"/>
        <item t="default"/>
      </items>
    </pivotField>
    <pivotField axis="axisRow" showAll="0">
      <items count="5">
        <item x="0"/>
        <item x="1"/>
        <item x="2"/>
        <item x="3"/>
        <item t="default"/>
      </items>
    </pivotField>
    <pivotField showAll="0">
      <items count="5">
        <item x="0"/>
        <item x="2"/>
        <item x="1"/>
        <item x="3"/>
        <item t="default"/>
      </items>
    </pivotField>
    <pivotField dataField="1" showAll="0"/>
    <pivotField showAll="0"/>
    <pivotField showAll="0"/>
    <pivotField showAll="0"/>
    <pivotField showAll="0">
      <items count="3">
        <item x="0"/>
        <item x="1"/>
        <item t="default"/>
      </items>
    </pivotField>
  </pivotFields>
  <rowFields count="1">
    <field x="2"/>
  </rowFields>
  <rowItems count="5">
    <i>
      <x/>
    </i>
    <i>
      <x v="1"/>
    </i>
    <i>
      <x v="2"/>
    </i>
    <i>
      <x v="3"/>
    </i>
    <i t="grand">
      <x/>
    </i>
  </rowItems>
  <colFields count="1">
    <field x="1"/>
  </colFields>
  <colItems count="5">
    <i>
      <x/>
    </i>
    <i>
      <x v="1"/>
    </i>
    <i>
      <x v="2"/>
    </i>
    <i>
      <x v="3"/>
    </i>
    <i>
      <x v="5"/>
    </i>
  </colItems>
  <dataFields count="1">
    <dataField name="Sum of Revenue" fld="4" baseField="0" baseItem="0"/>
  </dataFields>
  <chartFormats count="17">
    <chartFormat chart="12" format="8" series="1">
      <pivotArea type="data" outline="0" fieldPosition="0">
        <references count="2">
          <reference field="4294967294" count="1" selected="0">
            <x v="0"/>
          </reference>
          <reference field="1" count="1" selected="0">
            <x v="0"/>
          </reference>
        </references>
      </pivotArea>
    </chartFormat>
    <chartFormat chart="12" format="9" series="1">
      <pivotArea type="data" outline="0" fieldPosition="0">
        <references count="2">
          <reference field="4294967294" count="1" selected="0">
            <x v="0"/>
          </reference>
          <reference field="1" count="1" selected="0">
            <x v="1"/>
          </reference>
        </references>
      </pivotArea>
    </chartFormat>
    <chartFormat chart="12" format="10" series="1">
      <pivotArea type="data" outline="0" fieldPosition="0">
        <references count="2">
          <reference field="4294967294" count="1" selected="0">
            <x v="0"/>
          </reference>
          <reference field="1" count="1" selected="0">
            <x v="2"/>
          </reference>
        </references>
      </pivotArea>
    </chartFormat>
    <chartFormat chart="12" format="11" series="1">
      <pivotArea type="data" outline="0" fieldPosition="0">
        <references count="2">
          <reference field="4294967294" count="1" selected="0">
            <x v="0"/>
          </reference>
          <reference field="1" count="1" selected="0">
            <x v="3"/>
          </reference>
        </references>
      </pivotArea>
    </chartFormat>
    <chartFormat chart="12" format="12" series="1">
      <pivotArea type="data" outline="0" fieldPosition="0">
        <references count="2">
          <reference field="4294967294" count="1" selected="0">
            <x v="0"/>
          </reference>
          <reference field="1" count="1" selected="0">
            <x v="4"/>
          </reference>
        </references>
      </pivotArea>
    </chartFormat>
    <chartFormat chart="12" format="13" series="1">
      <pivotArea type="data" outline="0" fieldPosition="0">
        <references count="2">
          <reference field="4294967294" count="1" selected="0">
            <x v="0"/>
          </reference>
          <reference field="1" count="1" selected="0">
            <x v="5"/>
          </reference>
        </references>
      </pivotArea>
    </chartFormat>
    <chartFormat chart="12" format="14" series="1">
      <pivotArea type="data" outline="0" fieldPosition="0">
        <references count="1">
          <reference field="4294967294" count="1" selected="0">
            <x v="0"/>
          </reference>
        </references>
      </pivotArea>
    </chartFormat>
    <chartFormat chart="15" format="20" series="1">
      <pivotArea type="data" outline="0" fieldPosition="0">
        <references count="2">
          <reference field="4294967294" count="1" selected="0">
            <x v="0"/>
          </reference>
          <reference field="1" count="1" selected="0">
            <x v="0"/>
          </reference>
        </references>
      </pivotArea>
    </chartFormat>
    <chartFormat chart="15" format="21" series="1">
      <pivotArea type="data" outline="0" fieldPosition="0">
        <references count="2">
          <reference field="4294967294" count="1" selected="0">
            <x v="0"/>
          </reference>
          <reference field="1" count="1" selected="0">
            <x v="1"/>
          </reference>
        </references>
      </pivotArea>
    </chartFormat>
    <chartFormat chart="15" format="22" series="1">
      <pivotArea type="data" outline="0" fieldPosition="0">
        <references count="2">
          <reference field="4294967294" count="1" selected="0">
            <x v="0"/>
          </reference>
          <reference field="1" count="1" selected="0">
            <x v="2"/>
          </reference>
        </references>
      </pivotArea>
    </chartFormat>
    <chartFormat chart="15" format="23" series="1">
      <pivotArea type="data" outline="0" fieldPosition="0">
        <references count="2">
          <reference field="4294967294" count="1" selected="0">
            <x v="0"/>
          </reference>
          <reference field="1" count="1" selected="0">
            <x v="3"/>
          </reference>
        </references>
      </pivotArea>
    </chartFormat>
    <chartFormat chart="15" format="24" series="1">
      <pivotArea type="data" outline="0" fieldPosition="0">
        <references count="2">
          <reference field="4294967294" count="1" selected="0">
            <x v="0"/>
          </reference>
          <reference field="1" count="1" selected="0">
            <x v="5"/>
          </reference>
        </references>
      </pivotArea>
    </chartFormat>
    <chartFormat chart="17" format="30" series="1">
      <pivotArea type="data" outline="0" fieldPosition="0">
        <references count="2">
          <reference field="4294967294" count="1" selected="0">
            <x v="0"/>
          </reference>
          <reference field="1" count="1" selected="0">
            <x v="0"/>
          </reference>
        </references>
      </pivotArea>
    </chartFormat>
    <chartFormat chart="17" format="31" series="1">
      <pivotArea type="data" outline="0" fieldPosition="0">
        <references count="2">
          <reference field="4294967294" count="1" selected="0">
            <x v="0"/>
          </reference>
          <reference field="1" count="1" selected="0">
            <x v="1"/>
          </reference>
        </references>
      </pivotArea>
    </chartFormat>
    <chartFormat chart="17" format="32" series="1">
      <pivotArea type="data" outline="0" fieldPosition="0">
        <references count="2">
          <reference field="4294967294" count="1" selected="0">
            <x v="0"/>
          </reference>
          <reference field="1" count="1" selected="0">
            <x v="2"/>
          </reference>
        </references>
      </pivotArea>
    </chartFormat>
    <chartFormat chart="17" format="33" series="1">
      <pivotArea type="data" outline="0" fieldPosition="0">
        <references count="2">
          <reference field="4294967294" count="1" selected="0">
            <x v="0"/>
          </reference>
          <reference field="1" count="1" selected="0">
            <x v="3"/>
          </reference>
        </references>
      </pivotArea>
    </chartFormat>
    <chartFormat chart="17" format="34"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C4FB6C-EEE2-40D4-896B-455E391A3671}" name="PivotTable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N21" firstHeaderRow="1" firstDataRow="3" firstDataCol="1"/>
  <pivotFields count="9">
    <pivotField axis="axisRow" showAll="0">
      <items count="12">
        <item sd="0" x="5"/>
        <item sd="0" x="8"/>
        <item sd="0" x="7"/>
        <item sd="0" x="6"/>
        <item x="4"/>
        <item x="0"/>
        <item x="1"/>
        <item x="2"/>
        <item x="3"/>
        <item x="9"/>
        <item x="10"/>
        <item t="default"/>
      </items>
    </pivotField>
    <pivotField axis="axisCol" showAll="0">
      <items count="7">
        <item x="0"/>
        <item x="3"/>
        <item x="2"/>
        <item x="1"/>
        <item m="1" x="5"/>
        <item x="4"/>
        <item t="default"/>
      </items>
    </pivotField>
    <pivotField axis="axisRow" showAll="0">
      <items count="5">
        <item x="0"/>
        <item x="1"/>
        <item x="2"/>
        <item x="3"/>
        <item t="default"/>
      </items>
    </pivotField>
    <pivotField axis="axisCol" showAll="0">
      <items count="5">
        <item x="0"/>
        <item h="1" x="2"/>
        <item h="1" x="1"/>
        <item h="1" x="3"/>
        <item t="default"/>
      </items>
    </pivotField>
    <pivotField dataField="1" showAll="0"/>
    <pivotField showAll="0"/>
    <pivotField showAll="0"/>
    <pivotField showAll="0"/>
    <pivotField showAll="0"/>
  </pivotFields>
  <rowFields count="2">
    <field x="0"/>
    <field x="2"/>
  </rowFields>
  <rowItems count="7">
    <i>
      <x v="1"/>
    </i>
    <i>
      <x v="3"/>
    </i>
    <i>
      <x v="5"/>
    </i>
    <i r="1">
      <x/>
    </i>
    <i>
      <x v="8"/>
    </i>
    <i r="1">
      <x v="2"/>
    </i>
    <i t="grand">
      <x/>
    </i>
  </rowItems>
  <colFields count="2">
    <field x="1"/>
    <field x="3"/>
  </colFields>
  <colItems count="9">
    <i>
      <x/>
      <x/>
    </i>
    <i t="default">
      <x/>
    </i>
    <i>
      <x v="1"/>
      <x/>
    </i>
    <i t="default">
      <x v="1"/>
    </i>
    <i>
      <x v="2"/>
      <x/>
    </i>
    <i t="default">
      <x v="2"/>
    </i>
    <i>
      <x v="3"/>
      <x/>
    </i>
    <i t="default">
      <x v="3"/>
    </i>
    <i t="grand">
      <x/>
    </i>
  </colItems>
  <dataFields count="1">
    <dataField name="Sum of Revenu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0824AB-7B89-435C-B006-314898DBCC5E}" name="PivotTable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B18" firstHeaderRow="1" firstDataRow="1" firstDataCol="1"/>
  <pivotFields count="9">
    <pivotField showAll="0"/>
    <pivotField axis="axisRow" showAll="0">
      <items count="7">
        <item x="0"/>
        <item x="3"/>
        <item x="2"/>
        <item x="1"/>
        <item m="1" x="5"/>
        <item x="4"/>
        <item t="default"/>
      </items>
    </pivotField>
    <pivotField showAll="0"/>
    <pivotField showAll="0">
      <items count="5">
        <item x="0"/>
        <item x="2"/>
        <item x="1"/>
        <item x="3"/>
        <item t="default"/>
      </items>
    </pivotField>
    <pivotField dataField="1" showAll="0"/>
    <pivotField showAll="0"/>
    <pivotField showAll="0"/>
    <pivotField showAll="0"/>
    <pivotField showAll="0">
      <items count="3">
        <item x="0"/>
        <item x="1"/>
        <item t="default"/>
      </items>
    </pivotField>
  </pivotFields>
  <rowFields count="1">
    <field x="1"/>
  </rowFields>
  <rowItems count="6">
    <i>
      <x/>
    </i>
    <i>
      <x v="1"/>
    </i>
    <i>
      <x v="2"/>
    </i>
    <i>
      <x v="3"/>
    </i>
    <i>
      <x v="5"/>
    </i>
    <i t="grand">
      <x/>
    </i>
  </rowItems>
  <colItems count="1">
    <i/>
  </colItems>
  <dataFields count="1">
    <dataField name="Max of Revenue" fld="4" subtotal="max" showDataAs="percentOfTotal" baseField="1" baseItem="0" numFmtId="10"/>
  </dataFields>
  <chartFormats count="17">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1" count="1" selected="0">
            <x v="0"/>
          </reference>
        </references>
      </pivotArea>
    </chartFormat>
    <chartFormat chart="7" format="19">
      <pivotArea type="data" outline="0" fieldPosition="0">
        <references count="2">
          <reference field="4294967294" count="1" selected="0">
            <x v="0"/>
          </reference>
          <reference field="1" count="1" selected="0">
            <x v="1"/>
          </reference>
        </references>
      </pivotArea>
    </chartFormat>
    <chartFormat chart="7" format="20">
      <pivotArea type="data" outline="0" fieldPosition="0">
        <references count="2">
          <reference field="4294967294" count="1" selected="0">
            <x v="0"/>
          </reference>
          <reference field="1" count="1" selected="0">
            <x v="2"/>
          </reference>
        </references>
      </pivotArea>
    </chartFormat>
    <chartFormat chart="7" format="21">
      <pivotArea type="data" outline="0" fieldPosition="0">
        <references count="2">
          <reference field="4294967294" count="1" selected="0">
            <x v="0"/>
          </reference>
          <reference field="1" count="1" selected="0">
            <x v="3"/>
          </reference>
        </references>
      </pivotArea>
    </chartFormat>
    <chartFormat chart="7" format="22">
      <pivotArea type="data" outline="0" fieldPosition="0">
        <references count="2">
          <reference field="4294967294" count="1" selected="0">
            <x v="0"/>
          </reference>
          <reference field="1" count="1" selected="0">
            <x v="5"/>
          </reference>
        </references>
      </pivotArea>
    </chartFormat>
    <chartFormat chart="9" format="29" series="1">
      <pivotArea type="data" outline="0" fieldPosition="0">
        <references count="1">
          <reference field="4294967294" count="1" selected="0">
            <x v="0"/>
          </reference>
        </references>
      </pivotArea>
    </chartFormat>
    <chartFormat chart="9" format="30">
      <pivotArea type="data" outline="0" fieldPosition="0">
        <references count="2">
          <reference field="4294967294" count="1" selected="0">
            <x v="0"/>
          </reference>
          <reference field="1" count="1" selected="0">
            <x v="0"/>
          </reference>
        </references>
      </pivotArea>
    </chartFormat>
    <chartFormat chart="9" format="31">
      <pivotArea type="data" outline="0" fieldPosition="0">
        <references count="2">
          <reference field="4294967294" count="1" selected="0">
            <x v="0"/>
          </reference>
          <reference field="1" count="1" selected="0">
            <x v="1"/>
          </reference>
        </references>
      </pivotArea>
    </chartFormat>
    <chartFormat chart="9" format="32">
      <pivotArea type="data" outline="0" fieldPosition="0">
        <references count="2">
          <reference field="4294967294" count="1" selected="0">
            <x v="0"/>
          </reference>
          <reference field="1" count="1" selected="0">
            <x v="2"/>
          </reference>
        </references>
      </pivotArea>
    </chartFormat>
    <chartFormat chart="9" format="33">
      <pivotArea type="data" outline="0" fieldPosition="0">
        <references count="2">
          <reference field="4294967294" count="1" selected="0">
            <x v="0"/>
          </reference>
          <reference field="1" count="1" selected="0">
            <x v="3"/>
          </reference>
        </references>
      </pivotArea>
    </chartFormat>
    <chartFormat chart="9" format="3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E8FC86-B913-459E-BC5E-8895A38844C0}"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I10" firstHeaderRow="1" firstDataRow="2" firstDataCol="1"/>
  <pivotFields count="9">
    <pivotField showAll="0"/>
    <pivotField axis="axisRow" showAll="0">
      <items count="7">
        <item x="0"/>
        <item x="3"/>
        <item x="2"/>
        <item x="1"/>
        <item m="1" x="5"/>
        <item x="4"/>
        <item t="default"/>
      </items>
    </pivotField>
    <pivotField showAll="0"/>
    <pivotField axis="axisCol" showAll="0">
      <items count="5">
        <item x="0"/>
        <item x="2"/>
        <item x="1"/>
        <item x="3"/>
        <item t="default"/>
      </items>
    </pivotField>
    <pivotField dataField="1" showAll="0"/>
    <pivotField showAll="0"/>
    <pivotField showAll="0"/>
    <pivotField showAll="0"/>
    <pivotField showAll="0">
      <items count="3">
        <item x="0"/>
        <item x="1"/>
        <item t="default"/>
      </items>
    </pivotField>
  </pivotFields>
  <rowFields count="1">
    <field x="1"/>
  </rowFields>
  <rowItems count="6">
    <i>
      <x/>
    </i>
    <i>
      <x v="1"/>
    </i>
    <i>
      <x v="2"/>
    </i>
    <i>
      <x v="3"/>
    </i>
    <i>
      <x v="5"/>
    </i>
    <i t="grand">
      <x/>
    </i>
  </rowItems>
  <colFields count="1">
    <field x="3"/>
  </colFields>
  <colItems count="5">
    <i>
      <x/>
    </i>
    <i>
      <x v="1"/>
    </i>
    <i>
      <x v="2"/>
    </i>
    <i>
      <x v="3"/>
    </i>
    <i t="grand">
      <x/>
    </i>
  </colItems>
  <dataFields count="1">
    <dataField name="Sum of Revenue" fld="4" baseField="0" baseItem="0"/>
  </dataFields>
  <chartFormats count="12">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series="1">
      <pivotArea type="data" outline="0" fieldPosition="0">
        <references count="2">
          <reference field="4294967294" count="1" selected="0">
            <x v="0"/>
          </reference>
          <reference field="3" count="1" selected="0">
            <x v="3"/>
          </reference>
        </references>
      </pivotArea>
    </chartFormat>
    <chartFormat chart="7" format="14" series="1">
      <pivotArea type="data" outline="0" fieldPosition="0">
        <references count="2">
          <reference field="4294967294" count="1" selected="0">
            <x v="0"/>
          </reference>
          <reference field="3" count="1" selected="0">
            <x v="0"/>
          </reference>
        </references>
      </pivotArea>
    </chartFormat>
    <chartFormat chart="7" format="15" series="1">
      <pivotArea type="data" outline="0" fieldPosition="0">
        <references count="2">
          <reference field="4294967294" count="1" selected="0">
            <x v="0"/>
          </reference>
          <reference field="3" count="1" selected="0">
            <x v="1"/>
          </reference>
        </references>
      </pivotArea>
    </chartFormat>
    <chartFormat chart="7" format="16" series="1">
      <pivotArea type="data" outline="0" fieldPosition="0">
        <references count="2">
          <reference field="4294967294" count="1" selected="0">
            <x v="0"/>
          </reference>
          <reference field="3" count="1" selected="0">
            <x v="2"/>
          </reference>
        </references>
      </pivotArea>
    </chartFormat>
    <chartFormat chart="7" format="17" series="1">
      <pivotArea type="data" outline="0" fieldPosition="0">
        <references count="2">
          <reference field="4294967294" count="1" selected="0">
            <x v="0"/>
          </reference>
          <reference field="3" count="1" selected="0">
            <x v="3"/>
          </reference>
        </references>
      </pivotArea>
    </chartFormat>
    <chartFormat chart="9" format="22" series="1">
      <pivotArea type="data" outline="0" fieldPosition="0">
        <references count="2">
          <reference field="4294967294" count="1" selected="0">
            <x v="0"/>
          </reference>
          <reference field="3" count="1" selected="0">
            <x v="0"/>
          </reference>
        </references>
      </pivotArea>
    </chartFormat>
    <chartFormat chart="9" format="23" series="1">
      <pivotArea type="data" outline="0" fieldPosition="0">
        <references count="2">
          <reference field="4294967294" count="1" selected="0">
            <x v="0"/>
          </reference>
          <reference field="3" count="1" selected="0">
            <x v="1"/>
          </reference>
        </references>
      </pivotArea>
    </chartFormat>
    <chartFormat chart="9" format="24" series="1">
      <pivotArea type="data" outline="0" fieldPosition="0">
        <references count="2">
          <reference field="4294967294" count="1" selected="0">
            <x v="0"/>
          </reference>
          <reference field="3" count="1" selected="0">
            <x v="2"/>
          </reference>
        </references>
      </pivotArea>
    </chartFormat>
    <chartFormat chart="9" format="25"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25E2D9-643F-4948-B3D2-97D47309FE3E}" name="PivotTable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9">
    <pivotField showAll="0"/>
    <pivotField axis="axisRow" showAll="0">
      <items count="7">
        <item x="0"/>
        <item x="3"/>
        <item x="2"/>
        <item x="1"/>
        <item m="1" x="5"/>
        <item x="4"/>
        <item t="default"/>
      </items>
    </pivotField>
    <pivotField showAll="0"/>
    <pivotField showAll="0"/>
    <pivotField dataField="1" showAll="0"/>
    <pivotField showAll="0"/>
    <pivotField showAll="0"/>
    <pivotField showAll="0"/>
    <pivotField showAll="0"/>
  </pivotFields>
  <rowFields count="1">
    <field x="1"/>
  </rowFields>
  <rowItems count="6">
    <i>
      <x/>
    </i>
    <i>
      <x v="1"/>
    </i>
    <i>
      <x v="2"/>
    </i>
    <i>
      <x v="3"/>
    </i>
    <i>
      <x v="5"/>
    </i>
    <i t="grand">
      <x/>
    </i>
  </rowItems>
  <colItems count="1">
    <i/>
  </colItems>
  <dataFields count="1">
    <dataField name="Sum of Revenu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4783A5D-EE98-4FBC-AC1B-67A17335A0A4}" sourceName="Month">
  <pivotTables>
    <pivotTable tabId="5" name="PivotTable10"/>
    <pivotTable tabId="5" name="PivotTable6"/>
    <pivotTable tabId="5" name="PivotTable5"/>
    <pivotTable tabId="5" name="PivotTable11"/>
  </pivotTables>
  <data>
    <tabular pivotCacheId="246624276">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it_Laptop_Sold_in_Jan_or_a_Phone_Sold_in_Feb" xr10:uid="{E1B9AE27-26F3-4339-B5B7-7B1F276310DC}" sourceName="Is it Laptop Sold in Jan or a Phone Sold in Feb">
  <pivotTables>
    <pivotTable tabId="5" name="PivotTable6"/>
    <pivotTable tabId="5" name="PivotTable10"/>
    <pivotTable tabId="5" name="PivotTable5"/>
    <pivotTable tabId="5" name="PivotTable11"/>
  </pivotTables>
  <data>
    <tabular pivotCacheId="24662427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E9AB17C-B62E-4F1E-A031-9999D7A6598E}" cache="Slicer_Month" caption="Month" rowHeight="234950"/>
  <slicer name="Is it Laptop Sold in Jan or a Phone Sold in Feb" xr10:uid="{5275444C-8902-48A6-BDBA-41FBE72A8E51}" cache="Slicer_Is_it_Laptop_Sold_in_Jan_or_a_Phone_Sold_in_Feb" caption="Is it Laptop Sold in Jan or a Phone Sold in Fe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E76D5D-C143-4D8B-813A-73FD73327D50}" name="Table1" displayName="Table1" ref="A1:I14" totalsRowShown="0">
  <autoFilter ref="A1:I14" xr:uid="{ECE76D5D-C143-4D8B-813A-73FD73327D50}"/>
  <tableColumns count="9">
    <tableColumn id="1" xr3:uid="{CBBC8EA3-460F-404D-B4D3-D3630D8004F1}" name="Sales Person"/>
    <tableColumn id="2" xr3:uid="{759C2127-E149-40BC-8F46-4F93E591D6CA}" name="Region"/>
    <tableColumn id="3" xr3:uid="{9FAC32A5-CCE7-4023-B4FD-F46CBD8FAE91}" name="Product"/>
    <tableColumn id="4" xr3:uid="{7617DCE3-4F40-402B-AFB1-DE32BD438C93}" name="Month"/>
    <tableColumn id="5" xr3:uid="{4E4B48E3-60F4-447A-AA7F-3CFC475D0DEB}" name="Revenue"/>
    <tableColumn id="6" xr3:uid="{595FDA59-7461-44B4-A039-330727121CDF}" name="Revenue &gt; 300"/>
    <tableColumn id="7" xr3:uid="{1240C8ED-1714-4F50-BC39-35449784F8D7}" name="Revenue &gt; 300 &amp; Product Laptop"/>
    <tableColumn id="8" xr3:uid="{18B5399F-62E4-408E-86F1-AF9B0EE3ADC6}" name="Month_Jan_Region_South_Rev&gt;=250"/>
    <tableColumn id="9" xr3:uid="{9571EA88-4FC8-48E8-9698-3158FF334180}" name="Is it Laptop Sold in Jan or a Phone Sold in Feb"/>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0EBBA-14E1-4E24-A7B6-AC540FFFC562}">
  <dimension ref="A1:J40"/>
  <sheetViews>
    <sheetView topLeftCell="A10" workbookViewId="0">
      <selection sqref="A1:E12"/>
    </sheetView>
  </sheetViews>
  <sheetFormatPr defaultRowHeight="14.4" x14ac:dyDescent="0.3"/>
  <cols>
    <col min="1" max="1" width="11.109375" bestFit="1" customWidth="1"/>
    <col min="7" max="7" width="16.33203125" bestFit="1" customWidth="1"/>
    <col min="8" max="8" width="32.44140625" bestFit="1" customWidth="1"/>
    <col min="9" max="9" width="36.33203125" bestFit="1" customWidth="1"/>
    <col min="10" max="10" width="24.44140625" bestFit="1" customWidth="1"/>
  </cols>
  <sheetData>
    <row r="1" spans="1:10" x14ac:dyDescent="0.3">
      <c r="A1" s="2" t="s">
        <v>0</v>
      </c>
      <c r="B1" s="2" t="s">
        <v>1</v>
      </c>
      <c r="C1" s="2" t="s">
        <v>2</v>
      </c>
      <c r="D1" s="2" t="s">
        <v>3</v>
      </c>
      <c r="E1" s="2" t="s">
        <v>4</v>
      </c>
    </row>
    <row r="2" spans="1:10" x14ac:dyDescent="0.3">
      <c r="A2" s="1" t="s">
        <v>5</v>
      </c>
      <c r="B2" s="1" t="s">
        <v>14</v>
      </c>
      <c r="C2" s="1" t="s">
        <v>18</v>
      </c>
      <c r="D2" s="1" t="s">
        <v>21</v>
      </c>
      <c r="E2" s="1">
        <v>318</v>
      </c>
    </row>
    <row r="3" spans="1:10" x14ac:dyDescent="0.3">
      <c r="A3" s="1" t="s">
        <v>6</v>
      </c>
      <c r="B3" s="1" t="s">
        <v>15</v>
      </c>
      <c r="C3" s="1" t="s">
        <v>19</v>
      </c>
      <c r="D3" s="1" t="s">
        <v>22</v>
      </c>
      <c r="E3" s="1">
        <v>386</v>
      </c>
      <c r="G3" s="1" t="s">
        <v>24</v>
      </c>
      <c r="H3" s="1">
        <f>SUM(E2:E12)</f>
        <v>3264</v>
      </c>
    </row>
    <row r="4" spans="1:10" x14ac:dyDescent="0.3">
      <c r="A4" s="1" t="s">
        <v>7</v>
      </c>
      <c r="B4" s="1" t="s">
        <v>14</v>
      </c>
      <c r="C4" s="1" t="s">
        <v>18</v>
      </c>
      <c r="D4" s="1" t="s">
        <v>23</v>
      </c>
      <c r="E4" s="1">
        <v>251</v>
      </c>
      <c r="G4" s="1" t="s">
        <v>27</v>
      </c>
      <c r="H4" s="1">
        <v>4</v>
      </c>
    </row>
    <row r="5" spans="1:10" x14ac:dyDescent="0.3">
      <c r="A5" s="1" t="s">
        <v>8</v>
      </c>
      <c r="B5" s="1" t="s">
        <v>16</v>
      </c>
      <c r="C5" s="1" t="s">
        <v>20</v>
      </c>
      <c r="D5" s="1" t="s">
        <v>21</v>
      </c>
      <c r="E5" s="1">
        <v>346</v>
      </c>
      <c r="G5" s="1" t="s">
        <v>26</v>
      </c>
      <c r="H5" s="1">
        <f>AVERAGE(E2:E12)</f>
        <v>296.72727272727275</v>
      </c>
    </row>
    <row r="6" spans="1:10" x14ac:dyDescent="0.3">
      <c r="A6" s="1" t="s">
        <v>9</v>
      </c>
      <c r="B6" s="1" t="s">
        <v>15</v>
      </c>
      <c r="C6" s="1" t="s">
        <v>20</v>
      </c>
      <c r="D6" s="1" t="s">
        <v>22</v>
      </c>
      <c r="E6" s="1">
        <v>151</v>
      </c>
      <c r="G6" s="1" t="s">
        <v>25</v>
      </c>
      <c r="H6" s="1">
        <v>9</v>
      </c>
    </row>
    <row r="7" spans="1:10" x14ac:dyDescent="0.3">
      <c r="A7" s="1" t="s">
        <v>10</v>
      </c>
      <c r="B7" s="1" t="s">
        <v>14</v>
      </c>
      <c r="C7" s="1" t="s">
        <v>19</v>
      </c>
      <c r="D7" s="1" t="s">
        <v>23</v>
      </c>
      <c r="E7" s="1">
        <v>289</v>
      </c>
    </row>
    <row r="8" spans="1:10" x14ac:dyDescent="0.3">
      <c r="A8" s="1" t="s">
        <v>11</v>
      </c>
      <c r="B8" s="1" t="s">
        <v>17</v>
      </c>
      <c r="C8" s="1" t="s">
        <v>18</v>
      </c>
      <c r="D8" s="1" t="s">
        <v>21</v>
      </c>
      <c r="E8" s="1">
        <v>189</v>
      </c>
      <c r="G8" s="3" t="s">
        <v>1</v>
      </c>
      <c r="H8" s="4"/>
      <c r="I8" s="4"/>
      <c r="J8" s="5"/>
    </row>
    <row r="9" spans="1:10" x14ac:dyDescent="0.3">
      <c r="A9" s="1" t="s">
        <v>12</v>
      </c>
      <c r="B9" s="1" t="s">
        <v>15</v>
      </c>
      <c r="C9" s="1" t="s">
        <v>20</v>
      </c>
      <c r="D9" s="1" t="s">
        <v>22</v>
      </c>
      <c r="E9" s="1">
        <v>441</v>
      </c>
      <c r="G9" s="1" t="s">
        <v>28</v>
      </c>
      <c r="H9" s="1" t="s">
        <v>24</v>
      </c>
      <c r="I9" s="1" t="s">
        <v>26</v>
      </c>
      <c r="J9" s="1" t="s">
        <v>29</v>
      </c>
    </row>
    <row r="10" spans="1:10" x14ac:dyDescent="0.3">
      <c r="A10" s="1" t="s">
        <v>13</v>
      </c>
      <c r="B10" s="1" t="s">
        <v>14</v>
      </c>
      <c r="C10" s="1" t="s">
        <v>20</v>
      </c>
      <c r="D10" s="1" t="s">
        <v>22</v>
      </c>
      <c r="E10" s="1">
        <v>196</v>
      </c>
      <c r="G10" s="1" t="s">
        <v>14</v>
      </c>
      <c r="H10" s="1">
        <f>SUMIF($B$2:$B$12,G10,$E$2:$E$12)</f>
        <v>1054</v>
      </c>
      <c r="I10" s="1">
        <f>AVERAGEIF($B$2:$B$12,G10,$E$2:$E$12)</f>
        <v>263.5</v>
      </c>
      <c r="J10" s="1">
        <f>COUNTIF($B$2:$B$12,G10)</f>
        <v>4</v>
      </c>
    </row>
    <row r="11" spans="1:10" x14ac:dyDescent="0.3">
      <c r="A11" s="1" t="s">
        <v>10</v>
      </c>
      <c r="B11" s="1" t="s">
        <v>17</v>
      </c>
      <c r="C11" s="1" t="s">
        <v>19</v>
      </c>
      <c r="D11" s="1" t="s">
        <v>23</v>
      </c>
      <c r="E11" s="1">
        <v>415</v>
      </c>
      <c r="G11" s="1" t="s">
        <v>15</v>
      </c>
      <c r="H11" s="1">
        <f t="shared" ref="H11:H13" si="0">SUMIF($B$2:$B$12,G11,$E$2:$E$12)</f>
        <v>1260</v>
      </c>
      <c r="I11" s="1">
        <f t="shared" ref="I11:I13" si="1">AVERAGEIF($B$2:$B$12,G11,$E$2:$E$12)</f>
        <v>315</v>
      </c>
      <c r="J11" s="1">
        <f t="shared" ref="J11:J13" si="2">COUNTIF($B$2:$B$12,G11)</f>
        <v>4</v>
      </c>
    </row>
    <row r="12" spans="1:10" x14ac:dyDescent="0.3">
      <c r="A12" s="1" t="s">
        <v>13</v>
      </c>
      <c r="B12" s="1" t="s">
        <v>15</v>
      </c>
      <c r="C12" s="1" t="s">
        <v>18</v>
      </c>
      <c r="D12" s="1" t="s">
        <v>21</v>
      </c>
      <c r="E12" s="1">
        <v>282</v>
      </c>
      <c r="G12" s="1" t="s">
        <v>16</v>
      </c>
      <c r="H12" s="1">
        <f t="shared" si="0"/>
        <v>346</v>
      </c>
      <c r="I12" s="1">
        <f t="shared" si="1"/>
        <v>346</v>
      </c>
      <c r="J12" s="1">
        <f t="shared" si="2"/>
        <v>1</v>
      </c>
    </row>
    <row r="13" spans="1:10" x14ac:dyDescent="0.3">
      <c r="G13" s="1" t="s">
        <v>17</v>
      </c>
      <c r="H13" s="1">
        <f t="shared" si="0"/>
        <v>604</v>
      </c>
      <c r="I13" s="1">
        <f t="shared" si="1"/>
        <v>302</v>
      </c>
      <c r="J13" s="1">
        <f t="shared" si="2"/>
        <v>2</v>
      </c>
    </row>
    <row r="15" spans="1:10" x14ac:dyDescent="0.3">
      <c r="H15" t="str">
        <f ca="1">_xlfn.FORMULATEXT(H10)</f>
        <v>=SUMIF($B$2:$B$12,G10,$E$2:$E$12)</v>
      </c>
      <c r="I15" t="str">
        <f t="shared" ref="I15:J15" ca="1" si="3">_xlfn.FORMULATEXT(I10)</f>
        <v>=AVERAGEIF($B$2:$B$12,G10,$E$2:$E$12)</v>
      </c>
      <c r="J15" t="str">
        <f t="shared" ca="1" si="3"/>
        <v>=COUNTIF($B$2:$B$12,G10)</v>
      </c>
    </row>
    <row r="18" spans="3:10" x14ac:dyDescent="0.3">
      <c r="G18" s="6" t="s">
        <v>24</v>
      </c>
      <c r="H18" s="7" t="s">
        <v>21</v>
      </c>
      <c r="I18" s="7" t="s">
        <v>23</v>
      </c>
      <c r="J18" s="7" t="s">
        <v>22</v>
      </c>
    </row>
    <row r="19" spans="3:10" x14ac:dyDescent="0.3">
      <c r="G19" s="7" t="s">
        <v>28</v>
      </c>
      <c r="H19" s="1"/>
      <c r="I19" s="1"/>
      <c r="J19" s="1"/>
    </row>
    <row r="20" spans="3:10" x14ac:dyDescent="0.3">
      <c r="G20" s="1" t="s">
        <v>14</v>
      </c>
      <c r="H20" s="1">
        <f>SUMIFS($E$2:$E$12,$B$2:$B$12,$G20,$D$2:$D$12,H$18)</f>
        <v>318</v>
      </c>
      <c r="I20" s="1">
        <f t="shared" ref="I20:J20" si="4">SUMIFS($E$2:$E$12,$B$2:$B$12,$G20,$D$2:$D$12,I$18)</f>
        <v>540</v>
      </c>
      <c r="J20" s="1">
        <f t="shared" si="4"/>
        <v>196</v>
      </c>
    </row>
    <row r="21" spans="3:10" x14ac:dyDescent="0.3">
      <c r="G21" s="1" t="s">
        <v>15</v>
      </c>
      <c r="H21" s="1">
        <f t="shared" ref="H21:J23" si="5">SUMIFS($E$2:$E$12,$B$2:$B$12,$G21,$D$2:$D$12,H$18)</f>
        <v>282</v>
      </c>
      <c r="I21" s="1">
        <f t="shared" si="5"/>
        <v>0</v>
      </c>
      <c r="J21" s="1">
        <f t="shared" si="5"/>
        <v>978</v>
      </c>
    </row>
    <row r="22" spans="3:10" x14ac:dyDescent="0.3">
      <c r="G22" s="1" t="s">
        <v>16</v>
      </c>
      <c r="H22" s="1">
        <f t="shared" si="5"/>
        <v>346</v>
      </c>
      <c r="I22" s="1">
        <f t="shared" si="5"/>
        <v>0</v>
      </c>
      <c r="J22" s="1">
        <f t="shared" si="5"/>
        <v>0</v>
      </c>
    </row>
    <row r="23" spans="3:10" x14ac:dyDescent="0.3">
      <c r="G23" s="1" t="s">
        <v>17</v>
      </c>
      <c r="H23" s="1">
        <f t="shared" si="5"/>
        <v>189</v>
      </c>
      <c r="I23" s="1">
        <f t="shared" si="5"/>
        <v>415</v>
      </c>
      <c r="J23" s="1">
        <f t="shared" si="5"/>
        <v>0</v>
      </c>
    </row>
    <row r="24" spans="3:10" x14ac:dyDescent="0.3">
      <c r="H24" s="8" t="str">
        <f ca="1">_xlfn.FORMULATEXT(H20)</f>
        <v>=SUMIFS($E$2:$E$12,$B$2:$B$12,$G20,$D$2:$D$12,H$18)</v>
      </c>
    </row>
    <row r="26" spans="3:10" x14ac:dyDescent="0.3">
      <c r="G26" s="1" t="s">
        <v>30</v>
      </c>
      <c r="H26" s="7" t="s">
        <v>21</v>
      </c>
      <c r="I26" s="7" t="s">
        <v>23</v>
      </c>
      <c r="J26" s="7" t="s">
        <v>22</v>
      </c>
    </row>
    <row r="27" spans="3:10" x14ac:dyDescent="0.3">
      <c r="G27" s="7" t="s">
        <v>28</v>
      </c>
      <c r="H27" s="1"/>
      <c r="I27" s="1"/>
      <c r="J27" s="1"/>
    </row>
    <row r="28" spans="3:10" x14ac:dyDescent="0.3">
      <c r="C28">
        <v>1</v>
      </c>
      <c r="D28" t="e">
        <f>23/0</f>
        <v>#DIV/0!</v>
      </c>
      <c r="G28" s="1" t="s">
        <v>14</v>
      </c>
      <c r="H28" s="1">
        <f>IFERROR(AVERAGEIFS($E$2:$E$12,$B$2:$B$12,$G28,$D$2:$D$12,H$26),0)</f>
        <v>318</v>
      </c>
      <c r="I28" s="1">
        <f>IFERROR(AVERAGEIFS($E$2:$E$12,$B$2:$B$12,$G28,$D$2:$D$12,I$26),0)</f>
        <v>270</v>
      </c>
      <c r="J28" s="1">
        <f>IFERROR(AVERAGEIFS($E$2:$E$12,$B$2:$B$12,$G28,$D$2:$D$12,J$26),0)</f>
        <v>196</v>
      </c>
    </row>
    <row r="29" spans="3:10" x14ac:dyDescent="0.3">
      <c r="C29">
        <f>IFERROR(C28,0)</f>
        <v>1</v>
      </c>
      <c r="D29">
        <f>IFERROR(D28,0)</f>
        <v>0</v>
      </c>
      <c r="G29" s="1" t="s">
        <v>15</v>
      </c>
      <c r="H29" s="1">
        <f t="shared" ref="H29:J31" si="6">IFERROR(AVERAGEIFS($E$2:$E$12,$B$2:$B$12,$G29,$D$2:$D$12,H$26),0)</f>
        <v>282</v>
      </c>
      <c r="I29" s="1">
        <f t="shared" si="6"/>
        <v>0</v>
      </c>
      <c r="J29" s="1">
        <f t="shared" si="6"/>
        <v>326</v>
      </c>
    </row>
    <row r="30" spans="3:10" x14ac:dyDescent="0.3">
      <c r="G30" s="1" t="s">
        <v>16</v>
      </c>
      <c r="H30" s="1">
        <f t="shared" si="6"/>
        <v>346</v>
      </c>
      <c r="I30" s="1">
        <f t="shared" si="6"/>
        <v>0</v>
      </c>
      <c r="J30" s="1">
        <f t="shared" si="6"/>
        <v>0</v>
      </c>
    </row>
    <row r="31" spans="3:10" x14ac:dyDescent="0.3">
      <c r="G31" s="1" t="s">
        <v>17</v>
      </c>
      <c r="H31" s="1">
        <f t="shared" si="6"/>
        <v>189</v>
      </c>
      <c r="I31" s="1">
        <f t="shared" si="6"/>
        <v>415</v>
      </c>
      <c r="J31" s="1">
        <f t="shared" si="6"/>
        <v>0</v>
      </c>
    </row>
    <row r="32" spans="3:10" x14ac:dyDescent="0.3">
      <c r="H32" s="8" t="str">
        <f ca="1">_xlfn.FORMULATEXT(H28)</f>
        <v>=IFERROR(AVERAGEIFS($E$2:$E$12,$B$2:$B$12,$G28,$D$2:$D$12,H$26),0)</v>
      </c>
    </row>
    <row r="34" spans="7:10" x14ac:dyDescent="0.3">
      <c r="G34" s="1" t="s">
        <v>31</v>
      </c>
      <c r="H34" s="7" t="s">
        <v>21</v>
      </c>
      <c r="I34" s="7" t="s">
        <v>23</v>
      </c>
      <c r="J34" s="7" t="s">
        <v>22</v>
      </c>
    </row>
    <row r="35" spans="7:10" x14ac:dyDescent="0.3">
      <c r="G35" s="7" t="s">
        <v>28</v>
      </c>
      <c r="H35" s="1"/>
      <c r="I35" s="1"/>
      <c r="J35" s="1"/>
    </row>
    <row r="36" spans="7:10" x14ac:dyDescent="0.3">
      <c r="G36" s="1" t="s">
        <v>14</v>
      </c>
      <c r="H36" s="1">
        <f>COUNTIFS($B$2:$B$12,$G36,$D$2:$D$12,H$34)</f>
        <v>1</v>
      </c>
      <c r="I36" s="1">
        <f t="shared" ref="I36:J36" si="7">COUNTIFS($B$2:$B$12,$G36,$D$2:$D$12,I$34)</f>
        <v>2</v>
      </c>
      <c r="J36" s="1">
        <f t="shared" si="7"/>
        <v>1</v>
      </c>
    </row>
    <row r="37" spans="7:10" x14ac:dyDescent="0.3">
      <c r="G37" s="1" t="s">
        <v>15</v>
      </c>
      <c r="H37" s="1">
        <f t="shared" ref="H37:J39" si="8">COUNTIFS($B$2:$B$12,$G37,$D$2:$D$12,H$34)</f>
        <v>1</v>
      </c>
      <c r="I37" s="1">
        <f t="shared" si="8"/>
        <v>0</v>
      </c>
      <c r="J37" s="1">
        <f t="shared" si="8"/>
        <v>3</v>
      </c>
    </row>
    <row r="38" spans="7:10" x14ac:dyDescent="0.3">
      <c r="G38" s="1" t="s">
        <v>16</v>
      </c>
      <c r="H38" s="1">
        <f t="shared" si="8"/>
        <v>1</v>
      </c>
      <c r="I38" s="1">
        <f t="shared" si="8"/>
        <v>0</v>
      </c>
      <c r="J38" s="1">
        <f t="shared" si="8"/>
        <v>0</v>
      </c>
    </row>
    <row r="39" spans="7:10" x14ac:dyDescent="0.3">
      <c r="G39" s="1" t="s">
        <v>17</v>
      </c>
      <c r="H39" s="1">
        <f t="shared" si="8"/>
        <v>1</v>
      </c>
      <c r="I39" s="1">
        <f t="shared" si="8"/>
        <v>1</v>
      </c>
      <c r="J39" s="1">
        <f t="shared" si="8"/>
        <v>0</v>
      </c>
    </row>
    <row r="40" spans="7:10" x14ac:dyDescent="0.3">
      <c r="H40" s="8" t="str">
        <f ca="1">_xlfn.FORMULATEXT(H36)</f>
        <v>=COUNTIFS($B$2:$B$12,$G36,$D$2:$D$12,H$34)</v>
      </c>
    </row>
  </sheetData>
  <mergeCells count="1">
    <mergeCell ref="G8:J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1FC0-0540-431E-A3E7-AE227F37DD3B}">
  <dimension ref="A1:J18"/>
  <sheetViews>
    <sheetView topLeftCell="A4" workbookViewId="0">
      <selection sqref="A1:I12"/>
    </sheetView>
  </sheetViews>
  <sheetFormatPr defaultRowHeight="14.4" x14ac:dyDescent="0.3"/>
  <cols>
    <col min="6" max="6" width="12.88671875" bestFit="1" customWidth="1"/>
    <col min="7" max="7" width="28" bestFit="1" customWidth="1"/>
    <col min="8" max="8" width="31.88671875" bestFit="1" customWidth="1"/>
  </cols>
  <sheetData>
    <row r="1" spans="1:10" x14ac:dyDescent="0.3">
      <c r="A1" s="2" t="s">
        <v>0</v>
      </c>
      <c r="B1" s="2" t="s">
        <v>1</v>
      </c>
      <c r="C1" s="2" t="s">
        <v>2</v>
      </c>
      <c r="D1" s="2" t="s">
        <v>3</v>
      </c>
      <c r="E1" s="2" t="s">
        <v>4</v>
      </c>
      <c r="F1" s="9" t="s">
        <v>32</v>
      </c>
      <c r="G1" s="9" t="s">
        <v>33</v>
      </c>
      <c r="H1" s="9" t="s">
        <v>34</v>
      </c>
      <c r="I1" s="9" t="s">
        <v>40</v>
      </c>
    </row>
    <row r="2" spans="1:10" x14ac:dyDescent="0.3">
      <c r="A2" s="1" t="s">
        <v>5</v>
      </c>
      <c r="B2" s="1" t="s">
        <v>14</v>
      </c>
      <c r="C2" s="1" t="s">
        <v>18</v>
      </c>
      <c r="D2" s="1" t="s">
        <v>21</v>
      </c>
      <c r="E2" s="1">
        <v>318</v>
      </c>
      <c r="F2" t="str">
        <f>IF(E2&gt;300,"High","Low")</f>
        <v>High</v>
      </c>
      <c r="G2" t="str">
        <f>IF(AND(E2&gt;=300,C2="Laptop"),"Yes","No")</f>
        <v>Yes</v>
      </c>
      <c r="H2" t="str">
        <f>IF(AND(D2="Jan",B2="South",E2&gt;=250),"Yes","No")</f>
        <v>No</v>
      </c>
      <c r="I2" t="str">
        <f>IF(OR(AND(C2="Laptop",D2="Jan"),AND(C2="Phone",D2="Feb")),"Match","NotMatch")</f>
        <v>Match</v>
      </c>
    </row>
    <row r="3" spans="1:10" x14ac:dyDescent="0.3">
      <c r="A3" s="1" t="s">
        <v>6</v>
      </c>
      <c r="B3" s="1" t="s">
        <v>15</v>
      </c>
      <c r="C3" s="1" t="s">
        <v>19</v>
      </c>
      <c r="D3" s="1" t="s">
        <v>22</v>
      </c>
      <c r="E3" s="1">
        <v>386</v>
      </c>
      <c r="F3" t="str">
        <f t="shared" ref="F3:F12" si="0">IF(E3&gt;300,"High","Low")</f>
        <v>High</v>
      </c>
      <c r="G3" t="str">
        <f t="shared" ref="G3:G12" si="1">IF(AND(E3&gt;=300,C3="Laptop"),"Yes","No")</f>
        <v>No</v>
      </c>
      <c r="H3" t="str">
        <f t="shared" ref="H3:H12" si="2">IF(AND(D3="Jan",B3="South",E3&gt;=250),"Yes","No")</f>
        <v>No</v>
      </c>
      <c r="I3" t="str">
        <f t="shared" ref="I3:I12" si="3">IF(OR(AND(C3="Laptop",D3="Jan"),AND(C3="Phone",D3="Feb")),"Match","NotMatch")</f>
        <v>NotMatch</v>
      </c>
    </row>
    <row r="4" spans="1:10" x14ac:dyDescent="0.3">
      <c r="A4" s="1" t="s">
        <v>7</v>
      </c>
      <c r="B4" s="1" t="s">
        <v>14</v>
      </c>
      <c r="C4" s="1" t="s">
        <v>18</v>
      </c>
      <c r="D4" s="1" t="s">
        <v>23</v>
      </c>
      <c r="E4" s="1">
        <v>251</v>
      </c>
      <c r="F4" t="str">
        <f t="shared" si="0"/>
        <v>Low</v>
      </c>
      <c r="G4" t="str">
        <f t="shared" si="1"/>
        <v>No</v>
      </c>
      <c r="H4" t="str">
        <f t="shared" si="2"/>
        <v>No</v>
      </c>
      <c r="I4" t="str">
        <f t="shared" si="3"/>
        <v>NotMatch</v>
      </c>
    </row>
    <row r="5" spans="1:10" x14ac:dyDescent="0.3">
      <c r="A5" s="1" t="s">
        <v>8</v>
      </c>
      <c r="B5" s="1" t="s">
        <v>16</v>
      </c>
      <c r="C5" s="1" t="s">
        <v>20</v>
      </c>
      <c r="D5" s="1" t="s">
        <v>21</v>
      </c>
      <c r="E5" s="1">
        <v>346</v>
      </c>
      <c r="F5" t="str">
        <f t="shared" si="0"/>
        <v>High</v>
      </c>
      <c r="G5" t="str">
        <f t="shared" si="1"/>
        <v>No</v>
      </c>
      <c r="H5" t="str">
        <f t="shared" si="2"/>
        <v>Yes</v>
      </c>
      <c r="I5" t="str">
        <f t="shared" si="3"/>
        <v>NotMatch</v>
      </c>
    </row>
    <row r="6" spans="1:10" x14ac:dyDescent="0.3">
      <c r="A6" s="1" t="s">
        <v>9</v>
      </c>
      <c r="B6" s="1" t="s">
        <v>15</v>
      </c>
      <c r="C6" s="1" t="s">
        <v>20</v>
      </c>
      <c r="D6" s="1" t="s">
        <v>22</v>
      </c>
      <c r="E6" s="1">
        <v>151</v>
      </c>
      <c r="F6" t="str">
        <f t="shared" si="0"/>
        <v>Low</v>
      </c>
      <c r="G6" t="str">
        <f t="shared" si="1"/>
        <v>No</v>
      </c>
      <c r="H6" t="str">
        <f t="shared" si="2"/>
        <v>No</v>
      </c>
      <c r="I6" t="str">
        <f t="shared" si="3"/>
        <v>NotMatch</v>
      </c>
    </row>
    <row r="7" spans="1:10" x14ac:dyDescent="0.3">
      <c r="A7" s="1" t="s">
        <v>10</v>
      </c>
      <c r="B7" s="1" t="s">
        <v>14</v>
      </c>
      <c r="C7" s="1" t="s">
        <v>19</v>
      </c>
      <c r="D7" s="1" t="s">
        <v>23</v>
      </c>
      <c r="E7" s="1">
        <v>289</v>
      </c>
      <c r="F7" t="str">
        <f t="shared" si="0"/>
        <v>Low</v>
      </c>
      <c r="G7" t="str">
        <f t="shared" si="1"/>
        <v>No</v>
      </c>
      <c r="H7" t="str">
        <f t="shared" si="2"/>
        <v>No</v>
      </c>
      <c r="I7" t="str">
        <f t="shared" si="3"/>
        <v>Match</v>
      </c>
    </row>
    <row r="8" spans="1:10" x14ac:dyDescent="0.3">
      <c r="A8" s="1" t="s">
        <v>11</v>
      </c>
      <c r="B8" s="1" t="s">
        <v>17</v>
      </c>
      <c r="C8" s="1" t="s">
        <v>18</v>
      </c>
      <c r="D8" s="1" t="s">
        <v>21</v>
      </c>
      <c r="E8" s="1">
        <v>189</v>
      </c>
      <c r="F8" t="str">
        <f t="shared" si="0"/>
        <v>Low</v>
      </c>
      <c r="G8" t="str">
        <f t="shared" si="1"/>
        <v>No</v>
      </c>
      <c r="H8" t="str">
        <f t="shared" si="2"/>
        <v>No</v>
      </c>
      <c r="I8" t="str">
        <f t="shared" si="3"/>
        <v>Match</v>
      </c>
    </row>
    <row r="9" spans="1:10" x14ac:dyDescent="0.3">
      <c r="A9" s="1" t="s">
        <v>12</v>
      </c>
      <c r="B9" s="1" t="s">
        <v>15</v>
      </c>
      <c r="C9" s="1" t="s">
        <v>20</v>
      </c>
      <c r="D9" s="1" t="s">
        <v>22</v>
      </c>
      <c r="E9" s="1">
        <v>441</v>
      </c>
      <c r="F9" t="str">
        <f t="shared" si="0"/>
        <v>High</v>
      </c>
      <c r="G9" t="str">
        <f t="shared" si="1"/>
        <v>No</v>
      </c>
      <c r="H9" t="str">
        <f t="shared" si="2"/>
        <v>No</v>
      </c>
      <c r="I9" t="str">
        <f t="shared" si="3"/>
        <v>NotMatch</v>
      </c>
    </row>
    <row r="10" spans="1:10" x14ac:dyDescent="0.3">
      <c r="A10" s="1" t="s">
        <v>13</v>
      </c>
      <c r="B10" s="1" t="s">
        <v>14</v>
      </c>
      <c r="C10" s="1" t="s">
        <v>20</v>
      </c>
      <c r="D10" s="1" t="s">
        <v>22</v>
      </c>
      <c r="E10" s="1">
        <v>196</v>
      </c>
      <c r="F10" t="str">
        <f t="shared" si="0"/>
        <v>Low</v>
      </c>
      <c r="G10" t="str">
        <f t="shared" si="1"/>
        <v>No</v>
      </c>
      <c r="H10" t="str">
        <f t="shared" si="2"/>
        <v>No</v>
      </c>
      <c r="I10" t="str">
        <f t="shared" si="3"/>
        <v>NotMatch</v>
      </c>
    </row>
    <row r="11" spans="1:10" x14ac:dyDescent="0.3">
      <c r="A11" s="1" t="s">
        <v>10</v>
      </c>
      <c r="B11" s="1" t="s">
        <v>17</v>
      </c>
      <c r="C11" s="1" t="s">
        <v>19</v>
      </c>
      <c r="D11" s="1" t="s">
        <v>23</v>
      </c>
      <c r="E11" s="1">
        <v>415</v>
      </c>
      <c r="F11" t="str">
        <f t="shared" si="0"/>
        <v>High</v>
      </c>
      <c r="G11" t="str">
        <f t="shared" si="1"/>
        <v>No</v>
      </c>
      <c r="H11" t="str">
        <f t="shared" si="2"/>
        <v>No</v>
      </c>
      <c r="I11" t="str">
        <f t="shared" si="3"/>
        <v>Match</v>
      </c>
    </row>
    <row r="12" spans="1:10" x14ac:dyDescent="0.3">
      <c r="A12" s="1" t="s">
        <v>13</v>
      </c>
      <c r="B12" s="1" t="s">
        <v>15</v>
      </c>
      <c r="C12" s="1" t="s">
        <v>18</v>
      </c>
      <c r="D12" s="1" t="s">
        <v>21</v>
      </c>
      <c r="E12" s="1">
        <v>282</v>
      </c>
      <c r="F12" t="str">
        <f t="shared" si="0"/>
        <v>Low</v>
      </c>
      <c r="G12" t="str">
        <f t="shared" si="1"/>
        <v>No</v>
      </c>
      <c r="H12" t="str">
        <f t="shared" si="2"/>
        <v>No</v>
      </c>
      <c r="I12" t="str">
        <f t="shared" si="3"/>
        <v>Match</v>
      </c>
    </row>
    <row r="13" spans="1:10" x14ac:dyDescent="0.3">
      <c r="I13" t="str">
        <f ca="1">_xlfn.FORMULATEXT(I2)</f>
        <v>=IF(OR(AND(C2="Laptop",D2="Jan"),AND(C2="Phone",D2="Feb")),"Match","NotMatch")</v>
      </c>
    </row>
    <row r="16" spans="1:10" x14ac:dyDescent="0.3">
      <c r="F16" s="1"/>
      <c r="G16" s="1"/>
      <c r="H16" s="1" t="s">
        <v>37</v>
      </c>
      <c r="I16" s="1" t="s">
        <v>38</v>
      </c>
      <c r="J16" s="1" t="s">
        <v>39</v>
      </c>
    </row>
    <row r="17" spans="6:10" x14ac:dyDescent="0.3">
      <c r="F17" s="1" t="s">
        <v>35</v>
      </c>
      <c r="G17" s="1">
        <v>10</v>
      </c>
      <c r="H17" s="1" t="str">
        <f>IF(G17&gt;10,"Yes","No")</f>
        <v>No</v>
      </c>
      <c r="I17" s="1" t="b">
        <f>AND(G17&gt;10,F17="A")</f>
        <v>0</v>
      </c>
      <c r="J17" s="1" t="b">
        <f>OR(G17&gt;10,F17="A")</f>
        <v>1</v>
      </c>
    </row>
    <row r="18" spans="6:10" x14ac:dyDescent="0.3">
      <c r="F18" s="1" t="s">
        <v>36</v>
      </c>
      <c r="G18" s="1">
        <v>30</v>
      </c>
      <c r="H18" s="1" t="str">
        <f>IF(G18&gt;10,"Yes","No")</f>
        <v>Yes</v>
      </c>
      <c r="I18" s="1" t="b">
        <f>AND(G18&gt;10,F18="A")</f>
        <v>0</v>
      </c>
      <c r="J18" s="1" t="b">
        <f>OR(G18&gt;10,F18="A")</f>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4EFC9-FA2F-415C-8D5C-D202AF7AA391}">
  <dimension ref="A1:I14"/>
  <sheetViews>
    <sheetView workbookViewId="0">
      <selection activeCell="A15" sqref="A15"/>
    </sheetView>
  </sheetViews>
  <sheetFormatPr defaultRowHeight="14.4" x14ac:dyDescent="0.3"/>
  <cols>
    <col min="1" max="1" width="13.33203125" customWidth="1"/>
    <col min="2" max="2" width="12.5546875" bestFit="1" customWidth="1"/>
    <col min="3" max="3" width="15.5546875" bestFit="1" customWidth="1"/>
    <col min="4" max="4" width="19.44140625" bestFit="1" customWidth="1"/>
    <col min="5" max="5" width="14.88671875" bestFit="1" customWidth="1"/>
    <col min="6" max="6" width="19.44140625" bestFit="1" customWidth="1"/>
    <col min="7" max="7" width="14.88671875" bestFit="1" customWidth="1"/>
    <col min="8" max="8" width="19.44140625" bestFit="1" customWidth="1"/>
    <col min="9" max="9" width="14.88671875" bestFit="1" customWidth="1"/>
    <col min="10" max="10" width="19.44140625" bestFit="1" customWidth="1"/>
    <col min="11" max="11" width="19.6640625" bestFit="1" customWidth="1"/>
    <col min="12" max="12" width="24.21875" bestFit="1" customWidth="1"/>
  </cols>
  <sheetData>
    <row r="1" spans="1:9" x14ac:dyDescent="0.3">
      <c r="A1" t="s">
        <v>0</v>
      </c>
      <c r="B1" t="s">
        <v>1</v>
      </c>
      <c r="C1" t="s">
        <v>2</v>
      </c>
      <c r="D1" t="s">
        <v>3</v>
      </c>
      <c r="E1" t="s">
        <v>4</v>
      </c>
      <c r="F1" t="s">
        <v>32</v>
      </c>
      <c r="G1" t="s">
        <v>33</v>
      </c>
      <c r="H1" t="s">
        <v>34</v>
      </c>
      <c r="I1" t="s">
        <v>40</v>
      </c>
    </row>
    <row r="2" spans="1:9" x14ac:dyDescent="0.3">
      <c r="A2" t="s">
        <v>5</v>
      </c>
      <c r="B2" t="s">
        <v>14</v>
      </c>
      <c r="C2" t="s">
        <v>18</v>
      </c>
      <c r="D2" t="s">
        <v>21</v>
      </c>
      <c r="E2">
        <v>318</v>
      </c>
      <c r="F2" t="s">
        <v>41</v>
      </c>
      <c r="G2" t="s">
        <v>42</v>
      </c>
      <c r="H2" t="s">
        <v>43</v>
      </c>
      <c r="I2" t="s">
        <v>44</v>
      </c>
    </row>
    <row r="3" spans="1:9" x14ac:dyDescent="0.3">
      <c r="A3" t="s">
        <v>6</v>
      </c>
      <c r="B3" t="s">
        <v>15</v>
      </c>
      <c r="C3" t="s">
        <v>19</v>
      </c>
      <c r="D3" t="s">
        <v>22</v>
      </c>
      <c r="E3">
        <v>386</v>
      </c>
      <c r="F3" t="s">
        <v>41</v>
      </c>
      <c r="G3" t="s">
        <v>43</v>
      </c>
      <c r="H3" t="s">
        <v>43</v>
      </c>
      <c r="I3" t="s">
        <v>45</v>
      </c>
    </row>
    <row r="4" spans="1:9" x14ac:dyDescent="0.3">
      <c r="A4" t="s">
        <v>7</v>
      </c>
      <c r="B4" t="s">
        <v>14</v>
      </c>
      <c r="C4" t="s">
        <v>18</v>
      </c>
      <c r="D4" t="s">
        <v>23</v>
      </c>
      <c r="E4">
        <v>251</v>
      </c>
      <c r="F4" t="s">
        <v>46</v>
      </c>
      <c r="G4" t="s">
        <v>43</v>
      </c>
      <c r="H4" t="s">
        <v>43</v>
      </c>
      <c r="I4" t="s">
        <v>45</v>
      </c>
    </row>
    <row r="5" spans="1:9" x14ac:dyDescent="0.3">
      <c r="A5" t="s">
        <v>8</v>
      </c>
      <c r="B5" t="s">
        <v>16</v>
      </c>
      <c r="C5" t="s">
        <v>20</v>
      </c>
      <c r="D5" t="s">
        <v>21</v>
      </c>
      <c r="E5">
        <v>346</v>
      </c>
      <c r="F5" t="s">
        <v>41</v>
      </c>
      <c r="G5" t="s">
        <v>43</v>
      </c>
      <c r="H5" t="s">
        <v>42</v>
      </c>
      <c r="I5" t="s">
        <v>45</v>
      </c>
    </row>
    <row r="6" spans="1:9" x14ac:dyDescent="0.3">
      <c r="A6" t="s">
        <v>9</v>
      </c>
      <c r="B6" t="s">
        <v>15</v>
      </c>
      <c r="C6" t="s">
        <v>20</v>
      </c>
      <c r="D6" t="s">
        <v>22</v>
      </c>
      <c r="E6">
        <v>151</v>
      </c>
      <c r="F6" t="s">
        <v>46</v>
      </c>
      <c r="G6" t="s">
        <v>43</v>
      </c>
      <c r="H6" t="s">
        <v>43</v>
      </c>
      <c r="I6" t="s">
        <v>45</v>
      </c>
    </row>
    <row r="7" spans="1:9" x14ac:dyDescent="0.3">
      <c r="A7" t="s">
        <v>10</v>
      </c>
      <c r="B7" t="s">
        <v>14</v>
      </c>
      <c r="C7" t="s">
        <v>19</v>
      </c>
      <c r="D7" t="s">
        <v>23</v>
      </c>
      <c r="E7">
        <v>289</v>
      </c>
      <c r="F7" t="s">
        <v>46</v>
      </c>
      <c r="G7" t="s">
        <v>43</v>
      </c>
      <c r="H7" t="s">
        <v>43</v>
      </c>
      <c r="I7" t="s">
        <v>44</v>
      </c>
    </row>
    <row r="8" spans="1:9" x14ac:dyDescent="0.3">
      <c r="A8" t="s">
        <v>11</v>
      </c>
      <c r="B8" t="s">
        <v>17</v>
      </c>
      <c r="C8" t="s">
        <v>18</v>
      </c>
      <c r="D8" t="s">
        <v>21</v>
      </c>
      <c r="E8">
        <v>189</v>
      </c>
      <c r="F8" t="s">
        <v>46</v>
      </c>
      <c r="G8" t="s">
        <v>43</v>
      </c>
      <c r="H8" t="s">
        <v>43</v>
      </c>
      <c r="I8" t="s">
        <v>44</v>
      </c>
    </row>
    <row r="9" spans="1:9" x14ac:dyDescent="0.3">
      <c r="A9" t="s">
        <v>12</v>
      </c>
      <c r="B9" t="s">
        <v>15</v>
      </c>
      <c r="C9" t="s">
        <v>20</v>
      </c>
      <c r="D9" t="s">
        <v>22</v>
      </c>
      <c r="E9">
        <v>441</v>
      </c>
      <c r="F9" t="s">
        <v>41</v>
      </c>
      <c r="G9" t="s">
        <v>43</v>
      </c>
      <c r="H9" t="s">
        <v>43</v>
      </c>
      <c r="I9" t="s">
        <v>45</v>
      </c>
    </row>
    <row r="10" spans="1:9" x14ac:dyDescent="0.3">
      <c r="A10" t="s">
        <v>13</v>
      </c>
      <c r="B10" t="s">
        <v>14</v>
      </c>
      <c r="C10" t="s">
        <v>20</v>
      </c>
      <c r="D10" t="s">
        <v>22</v>
      </c>
      <c r="E10">
        <v>196</v>
      </c>
      <c r="F10" t="s">
        <v>46</v>
      </c>
      <c r="G10" t="s">
        <v>43</v>
      </c>
      <c r="H10" t="s">
        <v>43</v>
      </c>
      <c r="I10" t="s">
        <v>45</v>
      </c>
    </row>
    <row r="11" spans="1:9" x14ac:dyDescent="0.3">
      <c r="A11" t="s">
        <v>10</v>
      </c>
      <c r="B11" t="s">
        <v>17</v>
      </c>
      <c r="C11" t="s">
        <v>19</v>
      </c>
      <c r="D11" t="s">
        <v>23</v>
      </c>
      <c r="E11">
        <v>415</v>
      </c>
      <c r="F11" t="s">
        <v>41</v>
      </c>
      <c r="G11" t="s">
        <v>43</v>
      </c>
      <c r="H11" t="s">
        <v>43</v>
      </c>
      <c r="I11" t="s">
        <v>44</v>
      </c>
    </row>
    <row r="12" spans="1:9" x14ac:dyDescent="0.3">
      <c r="A12" t="s">
        <v>13</v>
      </c>
      <c r="B12" t="s">
        <v>15</v>
      </c>
      <c r="C12" t="s">
        <v>18</v>
      </c>
      <c r="D12" t="s">
        <v>21</v>
      </c>
      <c r="E12">
        <v>282</v>
      </c>
      <c r="F12" t="s">
        <v>46</v>
      </c>
      <c r="G12" t="s">
        <v>43</v>
      </c>
      <c r="H12" t="s">
        <v>43</v>
      </c>
      <c r="I12" t="s">
        <v>44</v>
      </c>
    </row>
    <row r="13" spans="1:9" x14ac:dyDescent="0.3">
      <c r="A13" t="s">
        <v>56</v>
      </c>
      <c r="B13" t="s">
        <v>58</v>
      </c>
      <c r="C13" t="s">
        <v>57</v>
      </c>
      <c r="D13" t="s">
        <v>22</v>
      </c>
      <c r="E13">
        <v>1440</v>
      </c>
      <c r="F13" t="s">
        <v>46</v>
      </c>
      <c r="G13" t="s">
        <v>43</v>
      </c>
      <c r="H13" t="s">
        <v>43</v>
      </c>
      <c r="I13" t="s">
        <v>44</v>
      </c>
    </row>
    <row r="14" spans="1:9" x14ac:dyDescent="0.3">
      <c r="A14" t="s">
        <v>60</v>
      </c>
      <c r="B14" t="s">
        <v>58</v>
      </c>
      <c r="C14" t="s">
        <v>57</v>
      </c>
      <c r="D14" t="s">
        <v>59</v>
      </c>
      <c r="E14">
        <v>2000</v>
      </c>
      <c r="F14" t="s">
        <v>46</v>
      </c>
      <c r="G14" t="s">
        <v>43</v>
      </c>
      <c r="H14" t="s">
        <v>43</v>
      </c>
      <c r="I14" t="s">
        <v>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81C13-8FF2-48B2-8E67-CE8C2BD15D7B}">
  <dimension ref="A3:N30"/>
  <sheetViews>
    <sheetView tabSelected="1" topLeftCell="A19" workbookViewId="0">
      <selection activeCell="E24" sqref="E24:K31"/>
    </sheetView>
  </sheetViews>
  <sheetFormatPr defaultRowHeight="14.4" x14ac:dyDescent="0.3"/>
  <cols>
    <col min="1" max="1" width="12.5546875" bestFit="1" customWidth="1"/>
    <col min="2" max="2" width="14.77734375" bestFit="1" customWidth="1"/>
    <col min="4" max="4" width="14.88671875" bestFit="1" customWidth="1"/>
    <col min="5" max="5" width="15.5546875" bestFit="1" customWidth="1"/>
    <col min="6" max="6" width="4" bestFit="1" customWidth="1"/>
    <col min="7" max="8" width="5" bestFit="1" customWidth="1"/>
    <col min="9" max="9" width="10.77734375" bestFit="1" customWidth="1"/>
    <col min="10" max="10" width="10" bestFit="1" customWidth="1"/>
    <col min="11" max="11" width="10.6640625" bestFit="1" customWidth="1"/>
    <col min="12" max="12" width="7.21875" bestFit="1" customWidth="1"/>
    <col min="13" max="13" width="9.88671875" bestFit="1" customWidth="1"/>
    <col min="14" max="14" width="10.77734375" bestFit="1" customWidth="1"/>
    <col min="15" max="15" width="7.21875" bestFit="1" customWidth="1"/>
    <col min="16" max="16" width="4.44140625" bestFit="1" customWidth="1"/>
    <col min="17" max="17" width="9.88671875" bestFit="1" customWidth="1"/>
    <col min="18" max="18" width="12" bestFit="1" customWidth="1"/>
    <col min="19" max="19" width="14.77734375" bestFit="1" customWidth="1"/>
    <col min="20" max="20" width="10.77734375" bestFit="1" customWidth="1"/>
  </cols>
  <sheetData>
    <row r="3" spans="1:14" x14ac:dyDescent="0.3">
      <c r="A3" s="10" t="s">
        <v>47</v>
      </c>
      <c r="B3" t="s">
        <v>49</v>
      </c>
      <c r="D3" s="10" t="s">
        <v>49</v>
      </c>
      <c r="E3" s="10" t="s">
        <v>50</v>
      </c>
    </row>
    <row r="4" spans="1:14" x14ac:dyDescent="0.3">
      <c r="A4" s="11" t="s">
        <v>14</v>
      </c>
      <c r="B4" s="12">
        <v>1054</v>
      </c>
      <c r="D4" s="10" t="s">
        <v>47</v>
      </c>
      <c r="E4" t="s">
        <v>21</v>
      </c>
      <c r="F4" t="s">
        <v>23</v>
      </c>
      <c r="G4" t="s">
        <v>22</v>
      </c>
      <c r="H4" t="s">
        <v>59</v>
      </c>
      <c r="I4" t="s">
        <v>48</v>
      </c>
    </row>
    <row r="5" spans="1:14" x14ac:dyDescent="0.3">
      <c r="A5" s="11" t="s">
        <v>17</v>
      </c>
      <c r="B5" s="12">
        <v>604</v>
      </c>
      <c r="D5" s="11" t="s">
        <v>14</v>
      </c>
      <c r="E5" s="12">
        <v>318</v>
      </c>
      <c r="F5" s="12">
        <v>540</v>
      </c>
      <c r="G5" s="12">
        <v>196</v>
      </c>
      <c r="H5" s="12"/>
      <c r="I5" s="12">
        <v>1054</v>
      </c>
    </row>
    <row r="6" spans="1:14" x14ac:dyDescent="0.3">
      <c r="A6" s="11" t="s">
        <v>16</v>
      </c>
      <c r="B6" s="12">
        <v>346</v>
      </c>
      <c r="D6" s="11" t="s">
        <v>17</v>
      </c>
      <c r="E6" s="12">
        <v>189</v>
      </c>
      <c r="F6" s="12">
        <v>415</v>
      </c>
      <c r="G6" s="12"/>
      <c r="H6" s="12"/>
      <c r="I6" s="12">
        <v>604</v>
      </c>
    </row>
    <row r="7" spans="1:14" x14ac:dyDescent="0.3">
      <c r="A7" s="11" t="s">
        <v>15</v>
      </c>
      <c r="B7" s="12">
        <v>1260</v>
      </c>
      <c r="D7" s="11" t="s">
        <v>16</v>
      </c>
      <c r="E7" s="12">
        <v>346</v>
      </c>
      <c r="F7" s="12"/>
      <c r="G7" s="12"/>
      <c r="H7" s="12"/>
      <c r="I7" s="12">
        <v>346</v>
      </c>
    </row>
    <row r="8" spans="1:14" x14ac:dyDescent="0.3">
      <c r="A8" s="11" t="s">
        <v>58</v>
      </c>
      <c r="B8" s="12">
        <v>3440</v>
      </c>
      <c r="D8" s="11" t="s">
        <v>15</v>
      </c>
      <c r="E8" s="12">
        <v>282</v>
      </c>
      <c r="F8" s="12"/>
      <c r="G8" s="12">
        <v>978</v>
      </c>
      <c r="H8" s="12"/>
      <c r="I8" s="12">
        <v>1260</v>
      </c>
    </row>
    <row r="9" spans="1:14" x14ac:dyDescent="0.3">
      <c r="A9" s="11" t="s">
        <v>48</v>
      </c>
      <c r="B9" s="12">
        <v>6704</v>
      </c>
      <c r="D9" s="11" t="s">
        <v>58</v>
      </c>
      <c r="E9" s="12"/>
      <c r="F9" s="12"/>
      <c r="G9" s="12">
        <v>1440</v>
      </c>
      <c r="H9" s="12">
        <v>2000</v>
      </c>
      <c r="I9" s="12">
        <v>3440</v>
      </c>
    </row>
    <row r="10" spans="1:14" x14ac:dyDescent="0.3">
      <c r="D10" s="11" t="s">
        <v>48</v>
      </c>
      <c r="E10" s="12">
        <v>1135</v>
      </c>
      <c r="F10" s="12">
        <v>955</v>
      </c>
      <c r="G10" s="12">
        <v>2614</v>
      </c>
      <c r="H10" s="12">
        <v>2000</v>
      </c>
      <c r="I10" s="12">
        <v>6704</v>
      </c>
    </row>
    <row r="12" spans="1:14" x14ac:dyDescent="0.3">
      <c r="A12" s="10" t="s">
        <v>47</v>
      </c>
      <c r="B12" t="s">
        <v>55</v>
      </c>
      <c r="E12" s="10" t="s">
        <v>49</v>
      </c>
      <c r="F12" s="10" t="s">
        <v>50</v>
      </c>
    </row>
    <row r="13" spans="1:14" x14ac:dyDescent="0.3">
      <c r="A13" s="11" t="s">
        <v>14</v>
      </c>
      <c r="B13" s="21">
        <v>0.159</v>
      </c>
      <c r="F13" t="s">
        <v>14</v>
      </c>
      <c r="G13" t="s">
        <v>51</v>
      </c>
      <c r="H13" t="s">
        <v>17</v>
      </c>
      <c r="I13" t="s">
        <v>52</v>
      </c>
      <c r="J13" t="s">
        <v>16</v>
      </c>
      <c r="K13" t="s">
        <v>53</v>
      </c>
      <c r="L13" t="s">
        <v>15</v>
      </c>
      <c r="M13" t="s">
        <v>54</v>
      </c>
      <c r="N13" t="s">
        <v>48</v>
      </c>
    </row>
    <row r="14" spans="1:14" x14ac:dyDescent="0.3">
      <c r="A14" s="11" t="s">
        <v>17</v>
      </c>
      <c r="B14" s="21">
        <v>0.20749999999999999</v>
      </c>
      <c r="E14" s="10" t="s">
        <v>47</v>
      </c>
      <c r="F14" t="s">
        <v>21</v>
      </c>
      <c r="H14" t="s">
        <v>21</v>
      </c>
      <c r="J14" t="s">
        <v>21</v>
      </c>
      <c r="L14" t="s">
        <v>21</v>
      </c>
    </row>
    <row r="15" spans="1:14" x14ac:dyDescent="0.3">
      <c r="A15" s="11" t="s">
        <v>16</v>
      </c>
      <c r="B15" s="21">
        <v>0.17299999999999999</v>
      </c>
      <c r="E15" s="11" t="s">
        <v>13</v>
      </c>
      <c r="F15" s="12"/>
      <c r="G15" s="12"/>
      <c r="H15" s="12"/>
      <c r="I15" s="12"/>
      <c r="J15" s="12"/>
      <c r="K15" s="12"/>
      <c r="L15" s="12">
        <v>282</v>
      </c>
      <c r="M15" s="12">
        <v>282</v>
      </c>
      <c r="N15" s="12">
        <v>282</v>
      </c>
    </row>
    <row r="16" spans="1:14" x14ac:dyDescent="0.3">
      <c r="A16" s="11" t="s">
        <v>15</v>
      </c>
      <c r="B16" s="21">
        <v>0.2205</v>
      </c>
      <c r="E16" s="11" t="s">
        <v>11</v>
      </c>
      <c r="F16" s="12"/>
      <c r="G16" s="12"/>
      <c r="H16" s="12">
        <v>189</v>
      </c>
      <c r="I16" s="12">
        <v>189</v>
      </c>
      <c r="J16" s="12"/>
      <c r="K16" s="12"/>
      <c r="L16" s="12"/>
      <c r="M16" s="12"/>
      <c r="N16" s="12">
        <v>189</v>
      </c>
    </row>
    <row r="17" spans="1:14" x14ac:dyDescent="0.3">
      <c r="A17" s="11" t="s">
        <v>58</v>
      </c>
      <c r="B17" s="21">
        <v>1</v>
      </c>
      <c r="E17" s="11" t="s">
        <v>5</v>
      </c>
      <c r="F17" s="12">
        <v>318</v>
      </c>
      <c r="G17" s="12">
        <v>318</v>
      </c>
      <c r="H17" s="12"/>
      <c r="I17" s="12"/>
      <c r="J17" s="12"/>
      <c r="K17" s="12"/>
      <c r="L17" s="12"/>
      <c r="M17" s="12"/>
      <c r="N17" s="12">
        <v>318</v>
      </c>
    </row>
    <row r="18" spans="1:14" x14ac:dyDescent="0.3">
      <c r="A18" s="11" t="s">
        <v>48</v>
      </c>
      <c r="B18" s="21">
        <v>1</v>
      </c>
      <c r="E18" s="13" t="s">
        <v>18</v>
      </c>
      <c r="F18" s="12">
        <v>318</v>
      </c>
      <c r="G18" s="12">
        <v>318</v>
      </c>
      <c r="H18" s="12"/>
      <c r="I18" s="12"/>
      <c r="J18" s="12"/>
      <c r="K18" s="12"/>
      <c r="L18" s="12"/>
      <c r="M18" s="12"/>
      <c r="N18" s="12">
        <v>318</v>
      </c>
    </row>
    <row r="19" spans="1:14" x14ac:dyDescent="0.3">
      <c r="E19" s="11" t="s">
        <v>8</v>
      </c>
      <c r="F19" s="12"/>
      <c r="G19" s="12"/>
      <c r="H19" s="12"/>
      <c r="I19" s="12"/>
      <c r="J19" s="12">
        <v>346</v>
      </c>
      <c r="K19" s="12">
        <v>346</v>
      </c>
      <c r="L19" s="12"/>
      <c r="M19" s="12"/>
      <c r="N19" s="12">
        <v>346</v>
      </c>
    </row>
    <row r="20" spans="1:14" x14ac:dyDescent="0.3">
      <c r="E20" s="13" t="s">
        <v>20</v>
      </c>
      <c r="F20" s="12"/>
      <c r="G20" s="12"/>
      <c r="H20" s="12"/>
      <c r="I20" s="12"/>
      <c r="J20" s="12">
        <v>346</v>
      </c>
      <c r="K20" s="12">
        <v>346</v>
      </c>
      <c r="L20" s="12"/>
      <c r="M20" s="12"/>
      <c r="N20" s="12">
        <v>346</v>
      </c>
    </row>
    <row r="21" spans="1:14" x14ac:dyDescent="0.3">
      <c r="A21" s="10" t="s">
        <v>47</v>
      </c>
      <c r="B21" t="s">
        <v>55</v>
      </c>
      <c r="E21" s="11" t="s">
        <v>48</v>
      </c>
      <c r="F21" s="12">
        <v>318</v>
      </c>
      <c r="G21" s="12">
        <v>318</v>
      </c>
      <c r="H21" s="12">
        <v>189</v>
      </c>
      <c r="I21" s="12">
        <v>189</v>
      </c>
      <c r="J21" s="12">
        <v>346</v>
      </c>
      <c r="K21" s="12">
        <v>346</v>
      </c>
      <c r="L21" s="12">
        <v>282</v>
      </c>
      <c r="M21" s="12">
        <v>282</v>
      </c>
      <c r="N21" s="12">
        <v>1135</v>
      </c>
    </row>
    <row r="22" spans="1:14" x14ac:dyDescent="0.3">
      <c r="A22" s="11" t="s">
        <v>14</v>
      </c>
      <c r="B22" s="14">
        <v>318</v>
      </c>
    </row>
    <row r="23" spans="1:14" x14ac:dyDescent="0.3">
      <c r="A23" s="11" t="s">
        <v>17</v>
      </c>
      <c r="B23" s="14">
        <v>415</v>
      </c>
    </row>
    <row r="24" spans="1:14" x14ac:dyDescent="0.3">
      <c r="A24" s="11" t="s">
        <v>16</v>
      </c>
      <c r="B24" s="14">
        <v>346</v>
      </c>
      <c r="E24" s="10" t="s">
        <v>49</v>
      </c>
      <c r="F24" s="10" t="s">
        <v>50</v>
      </c>
    </row>
    <row r="25" spans="1:14" x14ac:dyDescent="0.3">
      <c r="A25" s="11" t="s">
        <v>15</v>
      </c>
      <c r="B25" s="14">
        <v>441</v>
      </c>
      <c r="E25" s="10" t="s">
        <v>47</v>
      </c>
      <c r="F25" t="s">
        <v>14</v>
      </c>
      <c r="G25" t="s">
        <v>17</v>
      </c>
      <c r="H25" t="s">
        <v>16</v>
      </c>
      <c r="I25" t="s">
        <v>15</v>
      </c>
      <c r="J25" t="s">
        <v>58</v>
      </c>
    </row>
    <row r="26" spans="1:14" x14ac:dyDescent="0.3">
      <c r="A26" s="11" t="s">
        <v>58</v>
      </c>
      <c r="B26" s="14">
        <v>2000</v>
      </c>
      <c r="E26" s="11" t="s">
        <v>18</v>
      </c>
      <c r="F26" s="12">
        <v>569</v>
      </c>
      <c r="G26" s="12">
        <v>189</v>
      </c>
      <c r="H26" s="12"/>
      <c r="I26" s="12">
        <v>282</v>
      </c>
      <c r="J26" s="12"/>
    </row>
    <row r="27" spans="1:14" x14ac:dyDescent="0.3">
      <c r="A27" s="11" t="s">
        <v>48</v>
      </c>
      <c r="B27" s="12">
        <v>2000</v>
      </c>
      <c r="E27" s="11" t="s">
        <v>19</v>
      </c>
      <c r="F27" s="12">
        <v>289</v>
      </c>
      <c r="G27" s="12">
        <v>415</v>
      </c>
      <c r="H27" s="12"/>
      <c r="I27" s="12">
        <v>386</v>
      </c>
      <c r="J27" s="12"/>
    </row>
    <row r="28" spans="1:14" x14ac:dyDescent="0.3">
      <c r="E28" s="11" t="s">
        <v>20</v>
      </c>
      <c r="F28" s="12">
        <v>196</v>
      </c>
      <c r="G28" s="12"/>
      <c r="H28" s="12">
        <v>346</v>
      </c>
      <c r="I28" s="12">
        <v>592</v>
      </c>
      <c r="J28" s="12"/>
    </row>
    <row r="29" spans="1:14" x14ac:dyDescent="0.3">
      <c r="E29" s="11" t="s">
        <v>57</v>
      </c>
      <c r="F29" s="12"/>
      <c r="G29" s="12"/>
      <c r="H29" s="12"/>
      <c r="I29" s="12"/>
      <c r="J29" s="12">
        <v>3440</v>
      </c>
    </row>
    <row r="30" spans="1:14" x14ac:dyDescent="0.3">
      <c r="E30" s="11" t="s">
        <v>48</v>
      </c>
      <c r="F30" s="12">
        <v>1054</v>
      </c>
      <c r="G30" s="12">
        <v>604</v>
      </c>
      <c r="H30" s="12">
        <v>346</v>
      </c>
      <c r="I30" s="12">
        <v>1260</v>
      </c>
      <c r="J30" s="12">
        <v>3440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38F1B-6370-4D1C-A262-5376921E26F6}">
  <dimension ref="B2:P4"/>
  <sheetViews>
    <sheetView showGridLines="0" workbookViewId="0">
      <selection activeCell="R9" sqref="R9"/>
    </sheetView>
  </sheetViews>
  <sheetFormatPr defaultRowHeight="14.4" x14ac:dyDescent="0.3"/>
  <sheetData>
    <row r="2" spans="2:16" ht="14.4" customHeight="1" thickBot="1" x14ac:dyDescent="0.35"/>
    <row r="3" spans="2:16" x14ac:dyDescent="0.3">
      <c r="B3" s="20" t="s">
        <v>61</v>
      </c>
      <c r="C3" s="15"/>
      <c r="D3" s="15"/>
      <c r="E3" s="15"/>
      <c r="F3" s="15"/>
      <c r="G3" s="15"/>
      <c r="H3" s="15"/>
      <c r="I3" s="15"/>
      <c r="J3" s="15"/>
      <c r="K3" s="15"/>
      <c r="L3" s="15"/>
      <c r="M3" s="15"/>
      <c r="N3" s="15"/>
      <c r="O3" s="15"/>
      <c r="P3" s="16"/>
    </row>
    <row r="4" spans="2:16" ht="15" thickBot="1" x14ac:dyDescent="0.35">
      <c r="B4" s="17"/>
      <c r="C4" s="18"/>
      <c r="D4" s="18"/>
      <c r="E4" s="18"/>
      <c r="F4" s="18"/>
      <c r="G4" s="18"/>
      <c r="H4" s="18"/>
      <c r="I4" s="18"/>
      <c r="J4" s="18"/>
      <c r="K4" s="18"/>
      <c r="L4" s="18"/>
      <c r="M4" s="18"/>
      <c r="N4" s="18"/>
      <c r="O4" s="18"/>
      <c r="P4" s="19"/>
    </row>
  </sheetData>
  <mergeCells count="1">
    <mergeCell ref="B3: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Sum_Count_Average_if_ifs</vt:lpstr>
      <vt:lpstr>if_and_or</vt:lpstr>
      <vt:lpstr>Data</vt:lpstr>
      <vt:lpstr>Pivot Calculations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Patel</dc:creator>
  <cp:lastModifiedBy>Sandeep Patel</cp:lastModifiedBy>
  <dcterms:created xsi:type="dcterms:W3CDTF">2026-04-01T16:58:16Z</dcterms:created>
  <dcterms:modified xsi:type="dcterms:W3CDTF">2026-04-01T20:09:51Z</dcterms:modified>
</cp:coreProperties>
</file>