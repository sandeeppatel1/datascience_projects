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charts/chartEx3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ew folder\DS\"/>
    </mc:Choice>
  </mc:AlternateContent>
  <xr:revisionPtr revIDLastSave="0" documentId="13_ncr:1_{FCF3BC57-4D91-43F2-8626-4AED1DF3A3A6}" xr6:coauthVersionLast="47" xr6:coauthVersionMax="47" xr10:uidLastSave="{00000000-0000-0000-0000-000000000000}"/>
  <bookViews>
    <workbookView xWindow="10440" yWindow="960" windowWidth="11040" windowHeight="11172" firstSheet="1" activeTab="3" xr2:uid="{2C16AC45-EC44-4CE6-BAFB-7DCD2CC1FD98}"/>
  </bookViews>
  <sheets>
    <sheet name="Sheet1" sheetId="1" r:id="rId1"/>
    <sheet name="Sheet2" sheetId="2" r:id="rId2"/>
    <sheet name="Skewness" sheetId="3" r:id="rId3"/>
    <sheet name="PowerBi" sheetId="4" r:id="rId4"/>
  </sheets>
  <definedNames>
    <definedName name="_xlchart.v1.0" hidden="1">Sheet1!$C$32:$C$39</definedName>
    <definedName name="_xlchart.v1.1" hidden="1">Skewness!$B$1</definedName>
    <definedName name="_xlchart.v1.2" hidden="1">Skewness!$B$2:$B$12</definedName>
    <definedName name="_xlchart.v1.3" hidden="1">Skewness!$A$1</definedName>
    <definedName name="_xlchart.v1.4" hidden="1">Skewness!$B$2:$B$12</definedName>
    <definedName name="_xlchart.v1.5" hidden="1">Skewness!$A$2:$A$12</definedName>
    <definedName name="_xlchart.v1.6" hidden="1">Skewness!$B$1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7" i="3" l="1"/>
  <c r="B16" i="3"/>
  <c r="A16" i="3"/>
  <c r="B17" i="3"/>
  <c r="A15" i="3"/>
  <c r="B15" i="3"/>
  <c r="B14" i="3"/>
  <c r="A14" i="3"/>
  <c r="F62" i="1"/>
  <c r="F32" i="1"/>
  <c r="F41" i="1"/>
  <c r="E38" i="1"/>
  <c r="E33" i="1"/>
  <c r="E35" i="1"/>
  <c r="H8" i="1"/>
  <c r="C15" i="1"/>
  <c r="F15" i="1"/>
  <c r="F14" i="1"/>
  <c r="F12" i="1"/>
  <c r="C14" i="1"/>
  <c r="G8" i="1"/>
  <c r="H5" i="1"/>
  <c r="G5" i="1"/>
  <c r="F60" i="1" l="1"/>
  <c r="F37" i="1"/>
  <c r="D26" i="1"/>
  <c r="E26" i="1" s="1"/>
  <c r="D25" i="1"/>
  <c r="E25" i="1" s="1"/>
  <c r="D24" i="1"/>
  <c r="E24" i="1" s="1"/>
  <c r="D23" i="1"/>
  <c r="E23" i="1" s="1"/>
  <c r="D22" i="1"/>
  <c r="E22" i="1" s="1"/>
  <c r="D21" i="1"/>
  <c r="E21" i="1" s="1"/>
  <c r="D20" i="1"/>
  <c r="E20" i="1" s="1"/>
  <c r="D19" i="1"/>
  <c r="E19" i="1" s="1"/>
  <c r="D5" i="1"/>
  <c r="E5" i="1" s="1"/>
  <c r="D7" i="1"/>
  <c r="E7" i="1" s="1"/>
  <c r="D9" i="1"/>
  <c r="E9" i="1" s="1"/>
  <c r="D10" i="1"/>
  <c r="E10" i="1" s="1"/>
  <c r="D6" i="1"/>
  <c r="E6" i="1" s="1"/>
  <c r="D8" i="1"/>
  <c r="E8" i="1" s="1"/>
  <c r="D11" i="1"/>
  <c r="E11" i="1" s="1"/>
  <c r="D4" i="1"/>
  <c r="E4" i="1" s="1"/>
  <c r="G27" i="1" l="1"/>
  <c r="E27" i="1"/>
  <c r="E12" i="1"/>
  <c r="E14" i="1" s="1"/>
  <c r="E15" i="1" s="1"/>
</calcChain>
</file>

<file path=xl/sharedStrings.xml><?xml version="1.0" encoding="utf-8"?>
<sst xmlns="http://schemas.openxmlformats.org/spreadsheetml/2006/main" count="240" uniqueCount="165">
  <si>
    <t>Avg</t>
  </si>
  <si>
    <t>Median</t>
  </si>
  <si>
    <t>Standed Deviation</t>
  </si>
  <si>
    <t>X</t>
  </si>
  <si>
    <t>Xbar</t>
  </si>
  <si>
    <t>Sum of Deviation will always be Zero</t>
  </si>
  <si>
    <t>(X-Xbar)^2</t>
  </si>
  <si>
    <t>SSD</t>
  </si>
  <si>
    <t>Sum of Square Deviation</t>
  </si>
  <si>
    <t>Variance</t>
  </si>
  <si>
    <t>SSD/n-1</t>
  </si>
  <si>
    <t>X-Xbar</t>
  </si>
  <si>
    <t>Mean Absolution deviation</t>
  </si>
  <si>
    <t>|X -Xbar|</t>
  </si>
  <si>
    <t>SAD (Sum of Absolute Deviation)</t>
  </si>
  <si>
    <t>MAD (Mean Absolute Deviation)</t>
  </si>
  <si>
    <t>IQR</t>
  </si>
  <si>
    <t>Threshold Value</t>
  </si>
  <si>
    <t>Anything lower than this will be treated as outlier</t>
  </si>
  <si>
    <t>Anything above than this will be treated as outlier</t>
  </si>
  <si>
    <t>Q3-Q1</t>
  </si>
  <si>
    <t>OUTLIERS</t>
  </si>
  <si>
    <t>Q3+(1.5*IQR)</t>
  </si>
  <si>
    <t>Q1-(1.5*IQR)</t>
  </si>
  <si>
    <t>Q1 Minimum</t>
  </si>
  <si>
    <t>Q2 Median</t>
  </si>
  <si>
    <t>Q3 Maximum</t>
  </si>
  <si>
    <t>Correlation Analysis</t>
  </si>
  <si>
    <t>Girl1</t>
  </si>
  <si>
    <t>Hrs Trained</t>
  </si>
  <si>
    <t>Weights</t>
  </si>
  <si>
    <t>Girl2</t>
  </si>
  <si>
    <t>Race Time</t>
  </si>
  <si>
    <t>Positive Relation</t>
  </si>
  <si>
    <t>Negative Relation</t>
  </si>
  <si>
    <t>Pearson r Correlation</t>
  </si>
  <si>
    <t>Formula</t>
  </si>
  <si>
    <t>age</t>
  </si>
  <si>
    <t>height</t>
  </si>
  <si>
    <t>Correlation</t>
  </si>
  <si>
    <t>correlation</t>
  </si>
  <si>
    <t>age &amp; height are inversly related</t>
  </si>
  <si>
    <t>weight</t>
  </si>
  <si>
    <t>Col1</t>
  </si>
  <si>
    <t>Col2</t>
  </si>
  <si>
    <t>Col3</t>
  </si>
  <si>
    <t>Col4</t>
  </si>
  <si>
    <t>Col5</t>
  </si>
  <si>
    <t>Col6</t>
  </si>
  <si>
    <t>Col7</t>
  </si>
  <si>
    <t>Col8</t>
  </si>
  <si>
    <t>Spearman Rank Correlation</t>
  </si>
  <si>
    <t>Age</t>
  </si>
  <si>
    <t>Income</t>
  </si>
  <si>
    <t>6 peoples are higher than average age groups</t>
  </si>
  <si>
    <t>5 people are lower than average age groups</t>
  </si>
  <si>
    <t>Mean</t>
  </si>
  <si>
    <t>Standard Error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</si>
  <si>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</si>
  <si>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</si>
  <si>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</si>
  <si>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</si>
  <si>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</si>
  <si>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</si>
  <si>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</si>
  <si>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</si>
  <si>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</si>
  <si>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</si>
  <si>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Student</t>
  </si>
  <si>
    <t>Name</t>
  </si>
  <si>
    <t>Class</t>
  </si>
  <si>
    <t>Sec</t>
  </si>
  <si>
    <t>Grade</t>
  </si>
  <si>
    <t>Marks</t>
  </si>
  <si>
    <t>Std ID</t>
  </si>
  <si>
    <t>ID</t>
  </si>
  <si>
    <t>Sub1</t>
  </si>
  <si>
    <t>Highest Marks</t>
  </si>
  <si>
    <t>Lowes Marks</t>
  </si>
  <si>
    <t xml:space="preserve">Maths </t>
  </si>
  <si>
    <t>When having common tables between 2 tables than can be used Data Modeling</t>
  </si>
  <si>
    <t>ID01</t>
  </si>
  <si>
    <t>Rahul</t>
  </si>
  <si>
    <t>A</t>
  </si>
  <si>
    <t>IV</t>
  </si>
  <si>
    <t>Maths</t>
  </si>
  <si>
    <t>Collecting multiple Tables together and adding the relationship between them is called Data Modelling</t>
  </si>
  <si>
    <t>In order to get the correct/proper value between the tables . We need the relationship between them</t>
  </si>
  <si>
    <t>Why Data Modelling</t>
  </si>
  <si>
    <t>What is data modelling</t>
  </si>
  <si>
    <t>When to use Data modelling</t>
  </si>
  <si>
    <t>If both the tables contain a common column then we could add the relationship</t>
  </si>
  <si>
    <t>Table 1</t>
  </si>
  <si>
    <t>EmpID</t>
  </si>
  <si>
    <t xml:space="preserve">Dept </t>
  </si>
  <si>
    <t>Role</t>
  </si>
  <si>
    <t>Table2</t>
  </si>
  <si>
    <t>Employee</t>
  </si>
  <si>
    <t>Salary</t>
  </si>
  <si>
    <t>ID05</t>
  </si>
  <si>
    <t>ID02</t>
  </si>
  <si>
    <t>HR</t>
  </si>
  <si>
    <t>Sales</t>
  </si>
  <si>
    <t>Admin</t>
  </si>
  <si>
    <t>Manager</t>
  </si>
  <si>
    <t>Staff</t>
  </si>
  <si>
    <t>Executive</t>
  </si>
  <si>
    <t>ID04</t>
  </si>
  <si>
    <t>ID07</t>
  </si>
  <si>
    <t>Sahil</t>
  </si>
  <si>
    <t>Akash</t>
  </si>
  <si>
    <t>Can you give me the data of employeeid01 and which deparement it belongs with its salary details</t>
  </si>
  <si>
    <t>Data Warehouse</t>
  </si>
  <si>
    <t>1. Master table and Tansaction Table</t>
  </si>
  <si>
    <t>Master Table</t>
  </si>
  <si>
    <t>EmpID (PK)</t>
  </si>
  <si>
    <t>Sales - 2300</t>
  </si>
  <si>
    <t>Region - South</t>
  </si>
  <si>
    <t>Product - Laptops</t>
  </si>
  <si>
    <t>1. Dimensions - Text Columns (Which are independent columns) 99%</t>
  </si>
  <si>
    <t>2. Measures - Numeric Columns (Which are dependent on dimension columns) 1%</t>
  </si>
  <si>
    <t>1. Master Table - Information about the business (Primary Key + Non-Numeric information)</t>
  </si>
  <si>
    <t>2. Transaction Table - It contains the Metrics Information (Metrics - Numbers) [FK + Numeric Info]</t>
  </si>
  <si>
    <t>1. Dimensions - 1 %</t>
  </si>
  <si>
    <t>2. Measures - 99%</t>
  </si>
  <si>
    <t>PK = Primary Key (A key which is unique/disctinct across the table)</t>
  </si>
  <si>
    <t>FK - Forright Key (A key which is present in another table which is also unique/duplicate can also be joined with primary key)</t>
  </si>
  <si>
    <t>EmpID (FK)</t>
  </si>
  <si>
    <t>DP05</t>
  </si>
  <si>
    <t>DP07</t>
  </si>
  <si>
    <t>DP09</t>
  </si>
  <si>
    <t>Products</t>
  </si>
  <si>
    <t>ProdID</t>
  </si>
  <si>
    <t>Pdname</t>
  </si>
  <si>
    <t>DeptID (FK)</t>
  </si>
  <si>
    <t>ProdDesc</t>
  </si>
  <si>
    <t>DeptID (PK) (FK)</t>
  </si>
  <si>
    <t>Primary Key</t>
  </si>
  <si>
    <t>2. Unique information</t>
  </si>
  <si>
    <t>4. A table can contain only one column as primary key</t>
  </si>
  <si>
    <t>5. A PK can exists without a FK</t>
  </si>
  <si>
    <t>Foreign Key</t>
  </si>
  <si>
    <t>2. Contain/ Allow duplicates</t>
  </si>
  <si>
    <t>4. A table can have multiple FKs</t>
  </si>
  <si>
    <t>5. A FK cannot exists without a PK</t>
  </si>
  <si>
    <t>1. It is the column in the Fact (Transaction) Table</t>
  </si>
  <si>
    <t>1. A key column in the dimension (Master) table</t>
  </si>
  <si>
    <t>3. Wont allow nulls</t>
  </si>
  <si>
    <t>3. It allows nulls</t>
  </si>
  <si>
    <t>Product</t>
  </si>
  <si>
    <t>Entities</t>
  </si>
  <si>
    <t>Attributes</t>
  </si>
  <si>
    <t>Empid</t>
  </si>
  <si>
    <t>Gender</t>
  </si>
  <si>
    <t>Basic</t>
  </si>
  <si>
    <t>Pdid</t>
  </si>
  <si>
    <t>Descriptionss</t>
  </si>
  <si>
    <t>Sub-Products</t>
  </si>
  <si>
    <t>DA</t>
  </si>
  <si>
    <t>Orderid</t>
  </si>
  <si>
    <t>GSTNo</t>
  </si>
  <si>
    <t>SalesQty</t>
  </si>
  <si>
    <t>Sales Amt</t>
  </si>
  <si>
    <t>ERD</t>
  </si>
  <si>
    <t>Entity Relationship Diagram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</si>
</sst>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2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2" fontId="0" fillId="0" borderId="0" xfId="0" applyNumberFormat="1"/>
    <xf numFmtId="182" fontId="0" fillId="0" borderId="0" xfId="0" applyNumberFormat="1"/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Sheet1!$D$58</c:f>
              <c:strCache>
                <c:ptCount val="1"/>
                <c:pt idx="0">
                  <c:v>height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Sheet1!$C$59:$C$97</c:f>
              <c:numCache>
                <c:formatCode>General</c:formatCode>
                <c:ptCount val="39"/>
                <c:pt idx="0">
                  <c:v>19</c:v>
                </c:pt>
                <c:pt idx="1">
                  <c:v>21</c:v>
                </c:pt>
                <c:pt idx="2">
                  <c:v>18</c:v>
                </c:pt>
                <c:pt idx="3">
                  <c:v>21</c:v>
                </c:pt>
                <c:pt idx="4">
                  <c:v>23</c:v>
                </c:pt>
                <c:pt idx="5">
                  <c:v>24</c:v>
                </c:pt>
                <c:pt idx="6">
                  <c:v>30</c:v>
                </c:pt>
                <c:pt idx="7">
                  <c:v>25</c:v>
                </c:pt>
                <c:pt idx="8">
                  <c:v>28</c:v>
                </c:pt>
                <c:pt idx="9">
                  <c:v>25</c:v>
                </c:pt>
                <c:pt idx="10">
                  <c:v>30</c:v>
                </c:pt>
                <c:pt idx="11">
                  <c:v>29</c:v>
                </c:pt>
                <c:pt idx="12">
                  <c:v>23</c:v>
                </c:pt>
                <c:pt idx="13">
                  <c:v>28</c:v>
                </c:pt>
                <c:pt idx="14">
                  <c:v>28</c:v>
                </c:pt>
                <c:pt idx="15">
                  <c:v>24</c:v>
                </c:pt>
                <c:pt idx="16">
                  <c:v>18</c:v>
                </c:pt>
                <c:pt idx="17">
                  <c:v>25</c:v>
                </c:pt>
                <c:pt idx="18">
                  <c:v>27</c:v>
                </c:pt>
                <c:pt idx="19">
                  <c:v>18</c:v>
                </c:pt>
                <c:pt idx="20">
                  <c:v>23</c:v>
                </c:pt>
                <c:pt idx="21">
                  <c:v>23</c:v>
                </c:pt>
                <c:pt idx="22">
                  <c:v>21</c:v>
                </c:pt>
                <c:pt idx="23">
                  <c:v>27</c:v>
                </c:pt>
                <c:pt idx="24">
                  <c:v>29</c:v>
                </c:pt>
                <c:pt idx="25">
                  <c:v>20</c:v>
                </c:pt>
                <c:pt idx="26">
                  <c:v>20</c:v>
                </c:pt>
                <c:pt idx="27">
                  <c:v>22</c:v>
                </c:pt>
                <c:pt idx="28">
                  <c:v>27</c:v>
                </c:pt>
                <c:pt idx="29">
                  <c:v>22</c:v>
                </c:pt>
                <c:pt idx="30">
                  <c:v>19</c:v>
                </c:pt>
                <c:pt idx="31">
                  <c:v>23</c:v>
                </c:pt>
                <c:pt idx="32">
                  <c:v>24</c:v>
                </c:pt>
                <c:pt idx="33">
                  <c:v>21</c:v>
                </c:pt>
                <c:pt idx="34">
                  <c:v>26</c:v>
                </c:pt>
                <c:pt idx="35">
                  <c:v>24</c:v>
                </c:pt>
                <c:pt idx="36">
                  <c:v>27</c:v>
                </c:pt>
                <c:pt idx="37">
                  <c:v>24</c:v>
                </c:pt>
                <c:pt idx="38">
                  <c:v>20</c:v>
                </c:pt>
              </c:numCache>
            </c:numRef>
          </c:xVal>
          <c:yVal>
            <c:numRef>
              <c:f>Sheet1!$D$59:$D$97</c:f>
              <c:numCache>
                <c:formatCode>General</c:formatCode>
                <c:ptCount val="39"/>
                <c:pt idx="0">
                  <c:v>170</c:v>
                </c:pt>
                <c:pt idx="1">
                  <c:v>167</c:v>
                </c:pt>
                <c:pt idx="2">
                  <c:v>158</c:v>
                </c:pt>
                <c:pt idx="3">
                  <c:v>152</c:v>
                </c:pt>
                <c:pt idx="4">
                  <c:v>148</c:v>
                </c:pt>
                <c:pt idx="5">
                  <c:v>149</c:v>
                </c:pt>
                <c:pt idx="6">
                  <c:v>149</c:v>
                </c:pt>
                <c:pt idx="7">
                  <c:v>151</c:v>
                </c:pt>
                <c:pt idx="8">
                  <c:v>147</c:v>
                </c:pt>
                <c:pt idx="9">
                  <c:v>159</c:v>
                </c:pt>
                <c:pt idx="10">
                  <c:v>143</c:v>
                </c:pt>
                <c:pt idx="11">
                  <c:v>150</c:v>
                </c:pt>
                <c:pt idx="12">
                  <c:v>145</c:v>
                </c:pt>
                <c:pt idx="13">
                  <c:v>167</c:v>
                </c:pt>
                <c:pt idx="14">
                  <c:v>159</c:v>
                </c:pt>
                <c:pt idx="15">
                  <c:v>159</c:v>
                </c:pt>
                <c:pt idx="16">
                  <c:v>158</c:v>
                </c:pt>
                <c:pt idx="17">
                  <c:v>165</c:v>
                </c:pt>
                <c:pt idx="18">
                  <c:v>140</c:v>
                </c:pt>
                <c:pt idx="19">
                  <c:v>158</c:v>
                </c:pt>
                <c:pt idx="20">
                  <c:v>147</c:v>
                </c:pt>
                <c:pt idx="21">
                  <c:v>141</c:v>
                </c:pt>
                <c:pt idx="22">
                  <c:v>157</c:v>
                </c:pt>
                <c:pt idx="23">
                  <c:v>142</c:v>
                </c:pt>
                <c:pt idx="24">
                  <c:v>146</c:v>
                </c:pt>
                <c:pt idx="25">
                  <c:v>147</c:v>
                </c:pt>
                <c:pt idx="26">
                  <c:v>149</c:v>
                </c:pt>
                <c:pt idx="27">
                  <c:v>152</c:v>
                </c:pt>
                <c:pt idx="28">
                  <c:v>142</c:v>
                </c:pt>
                <c:pt idx="29">
                  <c:v>152</c:v>
                </c:pt>
                <c:pt idx="30">
                  <c:v>141</c:v>
                </c:pt>
                <c:pt idx="31">
                  <c:v>165</c:v>
                </c:pt>
                <c:pt idx="32">
                  <c:v>157</c:v>
                </c:pt>
                <c:pt idx="33">
                  <c:v>163</c:v>
                </c:pt>
                <c:pt idx="34">
                  <c:v>150</c:v>
                </c:pt>
                <c:pt idx="35">
                  <c:v>162</c:v>
                </c:pt>
                <c:pt idx="36">
                  <c:v>157</c:v>
                </c:pt>
                <c:pt idx="37">
                  <c:v>167</c:v>
                </c:pt>
                <c:pt idx="38">
                  <c:v>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83-4F66-A42B-76EAB537F3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391983"/>
        <c:axId val="2041341103"/>
      </c:scatterChart>
      <c:valAx>
        <c:axId val="20413919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41103"/>
        <c:crosses val="autoZero"/>
        <c:crossBetween val="midCat"/>
      </c:valAx>
      <c:valAx>
        <c:axId val="2041341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919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Sheet1!$C$58</c:f>
              <c:strCache>
                <c:ptCount val="1"/>
                <c:pt idx="0">
                  <c:v>age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Sheet1!$B$59:$B$97</c:f>
              <c:numCache>
                <c:formatCode>General</c:formatCode>
                <c:ptCount val="39"/>
                <c:pt idx="0">
                  <c:v>73</c:v>
                </c:pt>
                <c:pt idx="1">
                  <c:v>65</c:v>
                </c:pt>
                <c:pt idx="2">
                  <c:v>89</c:v>
                </c:pt>
                <c:pt idx="3">
                  <c:v>85</c:v>
                </c:pt>
                <c:pt idx="4">
                  <c:v>72</c:v>
                </c:pt>
                <c:pt idx="5">
                  <c:v>86</c:v>
                </c:pt>
                <c:pt idx="6">
                  <c:v>68</c:v>
                </c:pt>
                <c:pt idx="7">
                  <c:v>80</c:v>
                </c:pt>
                <c:pt idx="8">
                  <c:v>72</c:v>
                </c:pt>
                <c:pt idx="9">
                  <c:v>72</c:v>
                </c:pt>
                <c:pt idx="10">
                  <c:v>66</c:v>
                </c:pt>
                <c:pt idx="11">
                  <c:v>73</c:v>
                </c:pt>
                <c:pt idx="12">
                  <c:v>88</c:v>
                </c:pt>
                <c:pt idx="13">
                  <c:v>85</c:v>
                </c:pt>
                <c:pt idx="14">
                  <c:v>89</c:v>
                </c:pt>
                <c:pt idx="15">
                  <c:v>75</c:v>
                </c:pt>
                <c:pt idx="16">
                  <c:v>76</c:v>
                </c:pt>
                <c:pt idx="17">
                  <c:v>78</c:v>
                </c:pt>
                <c:pt idx="18">
                  <c:v>67</c:v>
                </c:pt>
                <c:pt idx="19">
                  <c:v>81</c:v>
                </c:pt>
                <c:pt idx="20">
                  <c:v>72</c:v>
                </c:pt>
                <c:pt idx="21">
                  <c:v>74</c:v>
                </c:pt>
                <c:pt idx="22">
                  <c:v>76</c:v>
                </c:pt>
                <c:pt idx="23">
                  <c:v>85</c:v>
                </c:pt>
                <c:pt idx="24">
                  <c:v>81</c:v>
                </c:pt>
                <c:pt idx="25">
                  <c:v>79</c:v>
                </c:pt>
                <c:pt idx="26">
                  <c:v>70</c:v>
                </c:pt>
                <c:pt idx="27">
                  <c:v>81</c:v>
                </c:pt>
                <c:pt idx="28">
                  <c:v>69</c:v>
                </c:pt>
                <c:pt idx="29">
                  <c:v>90</c:v>
                </c:pt>
                <c:pt idx="30">
                  <c:v>81</c:v>
                </c:pt>
                <c:pt idx="31">
                  <c:v>65</c:v>
                </c:pt>
                <c:pt idx="32">
                  <c:v>74</c:v>
                </c:pt>
                <c:pt idx="33">
                  <c:v>67</c:v>
                </c:pt>
                <c:pt idx="34">
                  <c:v>69</c:v>
                </c:pt>
                <c:pt idx="35">
                  <c:v>65</c:v>
                </c:pt>
                <c:pt idx="36">
                  <c:v>68</c:v>
                </c:pt>
                <c:pt idx="37">
                  <c:v>71</c:v>
                </c:pt>
                <c:pt idx="38">
                  <c:v>86</c:v>
                </c:pt>
              </c:numCache>
            </c:numRef>
          </c:xVal>
          <c:yVal>
            <c:numRef>
              <c:f>Sheet1!$C$59:$C$97</c:f>
              <c:numCache>
                <c:formatCode>General</c:formatCode>
                <c:ptCount val="39"/>
                <c:pt idx="0">
                  <c:v>19</c:v>
                </c:pt>
                <c:pt idx="1">
                  <c:v>21</c:v>
                </c:pt>
                <c:pt idx="2">
                  <c:v>18</c:v>
                </c:pt>
                <c:pt idx="3">
                  <c:v>21</c:v>
                </c:pt>
                <c:pt idx="4">
                  <c:v>23</c:v>
                </c:pt>
                <c:pt idx="5">
                  <c:v>24</c:v>
                </c:pt>
                <c:pt idx="6">
                  <c:v>30</c:v>
                </c:pt>
                <c:pt idx="7">
                  <c:v>25</c:v>
                </c:pt>
                <c:pt idx="8">
                  <c:v>28</c:v>
                </c:pt>
                <c:pt idx="9">
                  <c:v>25</c:v>
                </c:pt>
                <c:pt idx="10">
                  <c:v>30</c:v>
                </c:pt>
                <c:pt idx="11">
                  <c:v>29</c:v>
                </c:pt>
                <c:pt idx="12">
                  <c:v>23</c:v>
                </c:pt>
                <c:pt idx="13">
                  <c:v>28</c:v>
                </c:pt>
                <c:pt idx="14">
                  <c:v>28</c:v>
                </c:pt>
                <c:pt idx="15">
                  <c:v>24</c:v>
                </c:pt>
                <c:pt idx="16">
                  <c:v>18</c:v>
                </c:pt>
                <c:pt idx="17">
                  <c:v>25</c:v>
                </c:pt>
                <c:pt idx="18">
                  <c:v>27</c:v>
                </c:pt>
                <c:pt idx="19">
                  <c:v>18</c:v>
                </c:pt>
                <c:pt idx="20">
                  <c:v>23</c:v>
                </c:pt>
                <c:pt idx="21">
                  <c:v>23</c:v>
                </c:pt>
                <c:pt idx="22">
                  <c:v>21</c:v>
                </c:pt>
                <c:pt idx="23">
                  <c:v>27</c:v>
                </c:pt>
                <c:pt idx="24">
                  <c:v>29</c:v>
                </c:pt>
                <c:pt idx="25">
                  <c:v>20</c:v>
                </c:pt>
                <c:pt idx="26">
                  <c:v>20</c:v>
                </c:pt>
                <c:pt idx="27">
                  <c:v>22</c:v>
                </c:pt>
                <c:pt idx="28">
                  <c:v>27</c:v>
                </c:pt>
                <c:pt idx="29">
                  <c:v>22</c:v>
                </c:pt>
                <c:pt idx="30">
                  <c:v>19</c:v>
                </c:pt>
                <c:pt idx="31">
                  <c:v>23</c:v>
                </c:pt>
                <c:pt idx="32">
                  <c:v>24</c:v>
                </c:pt>
                <c:pt idx="33">
                  <c:v>21</c:v>
                </c:pt>
                <c:pt idx="34">
                  <c:v>26</c:v>
                </c:pt>
                <c:pt idx="35">
                  <c:v>24</c:v>
                </c:pt>
                <c:pt idx="36">
                  <c:v>27</c:v>
                </c:pt>
                <c:pt idx="37">
                  <c:v>24</c:v>
                </c:pt>
                <c:pt idx="38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55-4240-9936-4D4A43A7B9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1332943"/>
        <c:axId val="2041333423"/>
      </c:scatterChart>
      <c:valAx>
        <c:axId val="20413329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33423"/>
        <c:crosses val="autoZero"/>
        <c:crossBetween val="midCat"/>
      </c:valAx>
      <c:valAx>
        <c:axId val="2041333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133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Height vs</a:t>
            </a:r>
            <a:r>
              <a:rPr lang="en-IN" baseline="0"/>
              <a:t> Weight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Sheet1!$D$58</c:f>
              <c:strCache>
                <c:ptCount val="1"/>
                <c:pt idx="0">
                  <c:v>height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Sheet1!$B$59:$B$97</c:f>
              <c:numCache>
                <c:formatCode>General</c:formatCode>
                <c:ptCount val="39"/>
                <c:pt idx="0">
                  <c:v>73</c:v>
                </c:pt>
                <c:pt idx="1">
                  <c:v>65</c:v>
                </c:pt>
                <c:pt idx="2">
                  <c:v>89</c:v>
                </c:pt>
                <c:pt idx="3">
                  <c:v>85</c:v>
                </c:pt>
                <c:pt idx="4">
                  <c:v>72</c:v>
                </c:pt>
                <c:pt idx="5">
                  <c:v>86</c:v>
                </c:pt>
                <c:pt idx="6">
                  <c:v>68</c:v>
                </c:pt>
                <c:pt idx="7">
                  <c:v>80</c:v>
                </c:pt>
                <c:pt idx="8">
                  <c:v>72</c:v>
                </c:pt>
                <c:pt idx="9">
                  <c:v>72</c:v>
                </c:pt>
                <c:pt idx="10">
                  <c:v>66</c:v>
                </c:pt>
                <c:pt idx="11">
                  <c:v>73</c:v>
                </c:pt>
                <c:pt idx="12">
                  <c:v>88</c:v>
                </c:pt>
                <c:pt idx="13">
                  <c:v>85</c:v>
                </c:pt>
                <c:pt idx="14">
                  <c:v>89</c:v>
                </c:pt>
                <c:pt idx="15">
                  <c:v>75</c:v>
                </c:pt>
                <c:pt idx="16">
                  <c:v>76</c:v>
                </c:pt>
                <c:pt idx="17">
                  <c:v>78</c:v>
                </c:pt>
                <c:pt idx="18">
                  <c:v>67</c:v>
                </c:pt>
                <c:pt idx="19">
                  <c:v>81</c:v>
                </c:pt>
                <c:pt idx="20">
                  <c:v>72</c:v>
                </c:pt>
                <c:pt idx="21">
                  <c:v>74</c:v>
                </c:pt>
                <c:pt idx="22">
                  <c:v>76</c:v>
                </c:pt>
                <c:pt idx="23">
                  <c:v>85</c:v>
                </c:pt>
                <c:pt idx="24">
                  <c:v>81</c:v>
                </c:pt>
                <c:pt idx="25">
                  <c:v>79</c:v>
                </c:pt>
                <c:pt idx="26">
                  <c:v>70</c:v>
                </c:pt>
                <c:pt idx="27">
                  <c:v>81</c:v>
                </c:pt>
                <c:pt idx="28">
                  <c:v>69</c:v>
                </c:pt>
                <c:pt idx="29">
                  <c:v>90</c:v>
                </c:pt>
                <c:pt idx="30">
                  <c:v>81</c:v>
                </c:pt>
                <c:pt idx="31">
                  <c:v>65</c:v>
                </c:pt>
                <c:pt idx="32">
                  <c:v>74</c:v>
                </c:pt>
                <c:pt idx="33">
                  <c:v>67</c:v>
                </c:pt>
                <c:pt idx="34">
                  <c:v>69</c:v>
                </c:pt>
                <c:pt idx="35">
                  <c:v>65</c:v>
                </c:pt>
                <c:pt idx="36">
                  <c:v>68</c:v>
                </c:pt>
                <c:pt idx="37">
                  <c:v>71</c:v>
                </c:pt>
                <c:pt idx="38">
                  <c:v>86</c:v>
                </c:pt>
              </c:numCache>
            </c:numRef>
          </c:xVal>
          <c:yVal>
            <c:numRef>
              <c:f>Sheet1!$D$59:$D$97</c:f>
              <c:numCache>
                <c:formatCode>General</c:formatCode>
                <c:ptCount val="39"/>
                <c:pt idx="0">
                  <c:v>170</c:v>
                </c:pt>
                <c:pt idx="1">
                  <c:v>167</c:v>
                </c:pt>
                <c:pt idx="2">
                  <c:v>158</c:v>
                </c:pt>
                <c:pt idx="3">
                  <c:v>152</c:v>
                </c:pt>
                <c:pt idx="4">
                  <c:v>148</c:v>
                </c:pt>
                <c:pt idx="5">
                  <c:v>149</c:v>
                </c:pt>
                <c:pt idx="6">
                  <c:v>149</c:v>
                </c:pt>
                <c:pt idx="7">
                  <c:v>151</c:v>
                </c:pt>
                <c:pt idx="8">
                  <c:v>147</c:v>
                </c:pt>
                <c:pt idx="9">
                  <c:v>159</c:v>
                </c:pt>
                <c:pt idx="10">
                  <c:v>143</c:v>
                </c:pt>
                <c:pt idx="11">
                  <c:v>150</c:v>
                </c:pt>
                <c:pt idx="12">
                  <c:v>145</c:v>
                </c:pt>
                <c:pt idx="13">
                  <c:v>167</c:v>
                </c:pt>
                <c:pt idx="14">
                  <c:v>159</c:v>
                </c:pt>
                <c:pt idx="15">
                  <c:v>159</c:v>
                </c:pt>
                <c:pt idx="16">
                  <c:v>158</c:v>
                </c:pt>
                <c:pt idx="17">
                  <c:v>165</c:v>
                </c:pt>
                <c:pt idx="18">
                  <c:v>140</c:v>
                </c:pt>
                <c:pt idx="19">
                  <c:v>158</c:v>
                </c:pt>
                <c:pt idx="20">
                  <c:v>147</c:v>
                </c:pt>
                <c:pt idx="21">
                  <c:v>141</c:v>
                </c:pt>
                <c:pt idx="22">
                  <c:v>157</c:v>
                </c:pt>
                <c:pt idx="23">
                  <c:v>142</c:v>
                </c:pt>
                <c:pt idx="24">
                  <c:v>146</c:v>
                </c:pt>
                <c:pt idx="25">
                  <c:v>147</c:v>
                </c:pt>
                <c:pt idx="26">
                  <c:v>149</c:v>
                </c:pt>
                <c:pt idx="27">
                  <c:v>152</c:v>
                </c:pt>
                <c:pt idx="28">
                  <c:v>142</c:v>
                </c:pt>
                <c:pt idx="29">
                  <c:v>152</c:v>
                </c:pt>
                <c:pt idx="30">
                  <c:v>141</c:v>
                </c:pt>
                <c:pt idx="31">
                  <c:v>165</c:v>
                </c:pt>
                <c:pt idx="32">
                  <c:v>157</c:v>
                </c:pt>
                <c:pt idx="33">
                  <c:v>163</c:v>
                </c:pt>
                <c:pt idx="34">
                  <c:v>150</c:v>
                </c:pt>
                <c:pt idx="35">
                  <c:v>162</c:v>
                </c:pt>
                <c:pt idx="36">
                  <c:v>157</c:v>
                </c:pt>
                <c:pt idx="37">
                  <c:v>167</c:v>
                </c:pt>
                <c:pt idx="38">
                  <c:v>163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0A4-497B-AAA5-CFF299CD84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431247"/>
        <c:axId val="209431727"/>
      </c:scatterChart>
      <c:valAx>
        <c:axId val="2094312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1727"/>
        <c:crosses val="autoZero"/>
        <c:crossBetween val="midCat"/>
      </c:valAx>
      <c:valAx>
        <c:axId val="20943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31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88CAB933-F3DD-4763-9D3B-BE11C6EBF6B8}"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Positive Skew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Positive Skew</a:t>
          </a:r>
        </a:p>
      </cx:txPr>
    </cx:title>
    <cx:plotArea>
      <cx:plotAreaRegion>
        <cx:series layoutId="clusteredColumn" uniqueId="{43C55147-E9BB-4C3B-B3DE-CB7588BC825C}">
          <cx:tx>
            <cx:txData>
              <cx:f>_xlchart.v1.6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_xlchart.v1.4</cx:f>
      </cx:numDim>
    </cx:data>
  </cx:chartData>
  <cx:chart>
    <cx:title pos="t" align="ctr" overlay="0">
      <cx:tx>
        <cx:txData>
          <cx:v>Negative Skew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Negative Skew</a:t>
          </a:r>
        </a:p>
      </cx:txPr>
    </cx:title>
    <cx:plotArea>
      <cx:plotAreaRegion>
        <cx:series layoutId="clusteredColumn" uniqueId="{72CCAE74-8786-4C59-B979-A68A1B7B36D8}">
          <cx:tx>
            <cx:txData>
              <cx:f>_xlchart.v1.3</cx:f>
              <cx:v>Age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1.png"/><Relationship Id="rId1" Type="http://schemas.microsoft.com/office/2014/relationships/chartEx" Target="../charts/chartEx1.xml"/><Relationship Id="rId6" Type="http://schemas.openxmlformats.org/officeDocument/2006/relationships/chart" Target="../charts/chart3.xml"/><Relationship Id="rId5" Type="http://schemas.openxmlformats.org/officeDocument/2006/relationships/image" Target="../media/image2.png"/><Relationship Id="rId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2" Type="http://schemas.microsoft.com/office/2014/relationships/chartEx" Target="../charts/chartEx3.xml"/><Relationship Id="rId1" Type="http://schemas.microsoft.com/office/2014/relationships/chartEx" Target="../charts/chartEx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822960</xdr:colOff>
      <xdr:row>28</xdr:row>
      <xdr:rowOff>121920</xdr:rowOff>
    </xdr:from>
    <xdr:to>
      <xdr:col>12</xdr:col>
      <xdr:colOff>91440</xdr:colOff>
      <xdr:row>43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EA594F5-A35C-3693-900E-8C08A0D4B29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623560" y="52425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64804</xdr:colOff>
      <xdr:row>54</xdr:row>
      <xdr:rowOff>12292</xdr:rowOff>
    </xdr:from>
    <xdr:to>
      <xdr:col>5</xdr:col>
      <xdr:colOff>104469</xdr:colOff>
      <xdr:row>56</xdr:row>
      <xdr:rowOff>33736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81DB20B-08F4-391D-D271-53178210C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215610" y="9967453"/>
          <a:ext cx="1809472" cy="390154"/>
        </a:xfrm>
        <a:prstGeom prst="rect">
          <a:avLst/>
        </a:prstGeom>
      </xdr:spPr>
    </xdr:pic>
    <xdr:clientData/>
  </xdr:twoCellAnchor>
  <xdr:twoCellAnchor>
    <xdr:from>
      <xdr:col>4</xdr:col>
      <xdr:colOff>230443</xdr:colOff>
      <xdr:row>62</xdr:row>
      <xdr:rowOff>159774</xdr:rowOff>
    </xdr:from>
    <xdr:to>
      <xdr:col>7</xdr:col>
      <xdr:colOff>528484</xdr:colOff>
      <xdr:row>71</xdr:row>
      <xdr:rowOff>153628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1C8FF73-7AF5-3E30-F7B7-37C3FDD639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261168</xdr:colOff>
      <xdr:row>72</xdr:row>
      <xdr:rowOff>127820</xdr:rowOff>
    </xdr:from>
    <xdr:to>
      <xdr:col>7</xdr:col>
      <xdr:colOff>645241</xdr:colOff>
      <xdr:row>83</xdr:row>
      <xdr:rowOff>18435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F20FE94-F2FA-CD4F-7E47-5BF56440DF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12290</xdr:colOff>
      <xdr:row>101</xdr:row>
      <xdr:rowOff>165918</xdr:rowOff>
    </xdr:from>
    <xdr:to>
      <xdr:col>4</xdr:col>
      <xdr:colOff>186140</xdr:colOff>
      <xdr:row>104</xdr:row>
      <xdr:rowOff>74094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4F8EDB8-551F-CC60-FB48-8DABA9DCA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97193" y="18798047"/>
          <a:ext cx="2324657" cy="461241"/>
        </a:xfrm>
        <a:prstGeom prst="rect">
          <a:avLst/>
        </a:prstGeom>
      </xdr:spPr>
    </xdr:pic>
    <xdr:clientData/>
  </xdr:twoCellAnchor>
  <xdr:twoCellAnchor>
    <xdr:from>
      <xdr:col>4</xdr:col>
      <xdr:colOff>261169</xdr:colOff>
      <xdr:row>83</xdr:row>
      <xdr:rowOff>67596</xdr:rowOff>
    </xdr:from>
    <xdr:to>
      <xdr:col>7</xdr:col>
      <xdr:colOff>669823</xdr:colOff>
      <xdr:row>93</xdr:row>
      <xdr:rowOff>104467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9C11606-B705-607F-439A-4271E12A6C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480060</xdr:colOff>
      <xdr:row>0</xdr:row>
      <xdr:rowOff>64770</xdr:rowOff>
    </xdr:from>
    <xdr:to>
      <xdr:col>16</xdr:col>
      <xdr:colOff>175260</xdr:colOff>
      <xdr:row>15</xdr:row>
      <xdr:rowOff>64770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4265AB7-739D-2535-9DB3-C8D1ECCB733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23660" y="64770"/>
              <a:ext cx="4572000" cy="27508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45720</xdr:colOff>
      <xdr:row>16</xdr:row>
      <xdr:rowOff>22860</xdr:rowOff>
    </xdr:from>
    <xdr:to>
      <xdr:col>15</xdr:col>
      <xdr:colOff>350520</xdr:colOff>
      <xdr:row>31</xdr:row>
      <xdr:rowOff>22860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8D574FC8-6D9D-6948-0537-F5A739258B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9320" y="295656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01AEF-9BA4-4002-9D12-03129DFF5619}">
  <dimension ref="B2:I101"/>
  <sheetViews>
    <sheetView topLeftCell="A13" zoomScale="124" zoomScaleNormal="124" workbookViewId="0">
      <selection activeCell="I80" sqref="I80"/>
    </sheetView>
  </sheetViews>
  <sheetFormatPr defaultColWidth="12.88671875" defaultRowHeight="14.4" x14ac:dyDescent="0.3"/>
  <cols>
    <col min="2" max="2" width="7.33203125" customWidth="1"/>
    <col min="3" max="3" width="11.109375" customWidth="1"/>
    <col min="6" max="6" width="24.88671875" bestFit="1" customWidth="1"/>
  </cols>
  <sheetData>
    <row r="2" spans="2:8" x14ac:dyDescent="0.3">
      <c r="D2" t="s">
        <v>5</v>
      </c>
    </row>
    <row r="3" spans="2:8" x14ac:dyDescent="0.3">
      <c r="C3" s="1" t="s">
        <v>3</v>
      </c>
      <c r="D3" s="1" t="s">
        <v>11</v>
      </c>
      <c r="E3" s="1" t="s">
        <v>6</v>
      </c>
    </row>
    <row r="4" spans="2:8" x14ac:dyDescent="0.3">
      <c r="C4" s="1">
        <v>10</v>
      </c>
      <c r="D4" s="1">
        <f t="shared" ref="D4:D11" si="0">C4-$C$14</f>
        <v>-6</v>
      </c>
      <c r="E4" s="1">
        <f>D4^2</f>
        <v>36</v>
      </c>
      <c r="G4" t="s">
        <v>0</v>
      </c>
      <c r="H4" t="s">
        <v>1</v>
      </c>
    </row>
    <row r="5" spans="2:8" x14ac:dyDescent="0.3">
      <c r="C5" s="1">
        <v>11</v>
      </c>
      <c r="D5" s="1">
        <f t="shared" si="0"/>
        <v>-5</v>
      </c>
      <c r="E5" s="1">
        <f t="shared" ref="E5:E11" si="1">D5^2</f>
        <v>25</v>
      </c>
      <c r="G5">
        <f>AVERAGE(C4:C11)</f>
        <v>16</v>
      </c>
      <c r="H5">
        <f>MEDIAN(C4:C11)</f>
        <v>14.5</v>
      </c>
    </row>
    <row r="6" spans="2:8" x14ac:dyDescent="0.3">
      <c r="C6" s="1">
        <v>12</v>
      </c>
      <c r="D6" s="1">
        <f t="shared" si="0"/>
        <v>-4</v>
      </c>
      <c r="E6" s="1">
        <f t="shared" si="1"/>
        <v>16</v>
      </c>
    </row>
    <row r="7" spans="2:8" x14ac:dyDescent="0.3">
      <c r="C7" s="1">
        <v>14</v>
      </c>
      <c r="D7" s="1">
        <f t="shared" si="0"/>
        <v>-2</v>
      </c>
      <c r="E7" s="1">
        <f t="shared" si="1"/>
        <v>4</v>
      </c>
      <c r="G7" t="s">
        <v>2</v>
      </c>
      <c r="H7" t="s">
        <v>9</v>
      </c>
    </row>
    <row r="8" spans="2:8" x14ac:dyDescent="0.3">
      <c r="C8" s="1">
        <v>15</v>
      </c>
      <c r="D8" s="1">
        <f t="shared" si="0"/>
        <v>-1</v>
      </c>
      <c r="E8" s="1">
        <f t="shared" si="1"/>
        <v>1</v>
      </c>
      <c r="G8">
        <f>_xlfn.STDEV.S(C4:C11)</f>
        <v>5.3184315625675103</v>
      </c>
      <c r="H8">
        <f>_xlfn.VAR.S(C4:C11)</f>
        <v>28.285714285714285</v>
      </c>
    </row>
    <row r="9" spans="2:8" x14ac:dyDescent="0.3">
      <c r="C9" s="1">
        <v>20</v>
      </c>
      <c r="D9" s="1">
        <f t="shared" si="0"/>
        <v>4</v>
      </c>
      <c r="E9" s="1">
        <f t="shared" si="1"/>
        <v>16</v>
      </c>
    </row>
    <row r="10" spans="2:8" x14ac:dyDescent="0.3">
      <c r="C10" s="1">
        <v>22</v>
      </c>
      <c r="D10" s="1">
        <f t="shared" si="0"/>
        <v>6</v>
      </c>
      <c r="E10" s="1">
        <f t="shared" si="1"/>
        <v>36</v>
      </c>
    </row>
    <row r="11" spans="2:8" x14ac:dyDescent="0.3">
      <c r="C11" s="1">
        <v>24</v>
      </c>
      <c r="D11" s="1">
        <f t="shared" si="0"/>
        <v>8</v>
      </c>
      <c r="E11" s="1">
        <f t="shared" si="1"/>
        <v>64</v>
      </c>
    </row>
    <row r="12" spans="2:8" x14ac:dyDescent="0.3">
      <c r="D12" t="s">
        <v>7</v>
      </c>
      <c r="E12">
        <f>SUM(E4:E11)</f>
        <v>198</v>
      </c>
      <c r="F12" t="str">
        <f ca="1">_xlfn.FORMULATEXT(E12)</f>
        <v>=SUM(E4:E11)</v>
      </c>
    </row>
    <row r="13" spans="2:8" x14ac:dyDescent="0.3">
      <c r="D13" t="s">
        <v>7</v>
      </c>
      <c r="E13" t="s">
        <v>8</v>
      </c>
    </row>
    <row r="14" spans="2:8" x14ac:dyDescent="0.3">
      <c r="B14" t="s">
        <v>4</v>
      </c>
      <c r="C14">
        <f>AVERAGE(C4:C11)</f>
        <v>16</v>
      </c>
      <c r="D14" t="s">
        <v>9</v>
      </c>
      <c r="E14">
        <f>E12/(8-1)</f>
        <v>28.285714285714285</v>
      </c>
      <c r="F14" t="str">
        <f ca="1">_xlfn.FORMULATEXT(E14)</f>
        <v>=E12/(8-1)</v>
      </c>
      <c r="G14" t="s">
        <v>10</v>
      </c>
    </row>
    <row r="15" spans="2:8" x14ac:dyDescent="0.3">
      <c r="C15" t="str">
        <f ca="1">_xlfn.FORMULATEXT(C14)</f>
        <v>=AVERAGE(C4:C11)</v>
      </c>
      <c r="D15" t="s">
        <v>2</v>
      </c>
      <c r="E15">
        <f>SQRT(E14)</f>
        <v>5.3184315625675103</v>
      </c>
      <c r="F15" t="str">
        <f ca="1">_xlfn.FORMULATEXT(E15)</f>
        <v>=SQRT(E14)</v>
      </c>
    </row>
    <row r="17" spans="2:7" x14ac:dyDescent="0.3">
      <c r="B17" t="s">
        <v>12</v>
      </c>
    </row>
    <row r="18" spans="2:7" x14ac:dyDescent="0.3">
      <c r="C18" s="1" t="s">
        <v>3</v>
      </c>
      <c r="D18" s="1" t="s">
        <v>11</v>
      </c>
      <c r="E18" s="1" t="s">
        <v>13</v>
      </c>
    </row>
    <row r="19" spans="2:7" x14ac:dyDescent="0.3">
      <c r="C19" s="1">
        <v>10</v>
      </c>
      <c r="D19" s="1">
        <f t="shared" ref="D19:D26" si="2">C19-$C$14</f>
        <v>-6</v>
      </c>
      <c r="E19" s="1">
        <f>ABS(D19)</f>
        <v>6</v>
      </c>
    </row>
    <row r="20" spans="2:7" x14ac:dyDescent="0.3">
      <c r="C20" s="1">
        <v>11</v>
      </c>
      <c r="D20" s="1">
        <f t="shared" si="2"/>
        <v>-5</v>
      </c>
      <c r="E20" s="1">
        <f t="shared" ref="E20:E26" si="3">ABS(D20)</f>
        <v>5</v>
      </c>
    </row>
    <row r="21" spans="2:7" x14ac:dyDescent="0.3">
      <c r="C21" s="1">
        <v>12</v>
      </c>
      <c r="D21" s="1">
        <f t="shared" si="2"/>
        <v>-4</v>
      </c>
      <c r="E21" s="1">
        <f t="shared" si="3"/>
        <v>4</v>
      </c>
    </row>
    <row r="22" spans="2:7" x14ac:dyDescent="0.3">
      <c r="C22" s="1">
        <v>14</v>
      </c>
      <c r="D22" s="1">
        <f t="shared" si="2"/>
        <v>-2</v>
      </c>
      <c r="E22" s="1">
        <f t="shared" si="3"/>
        <v>2</v>
      </c>
    </row>
    <row r="23" spans="2:7" x14ac:dyDescent="0.3">
      <c r="C23" s="1">
        <v>15</v>
      </c>
      <c r="D23" s="1">
        <f t="shared" si="2"/>
        <v>-1</v>
      </c>
      <c r="E23" s="1">
        <f t="shared" si="3"/>
        <v>1</v>
      </c>
    </row>
    <row r="24" spans="2:7" x14ac:dyDescent="0.3">
      <c r="C24" s="1">
        <v>20</v>
      </c>
      <c r="D24" s="1">
        <f t="shared" si="2"/>
        <v>4</v>
      </c>
      <c r="E24" s="1">
        <f t="shared" si="3"/>
        <v>4</v>
      </c>
    </row>
    <row r="25" spans="2:7" x14ac:dyDescent="0.3">
      <c r="C25" s="1">
        <v>22</v>
      </c>
      <c r="D25" s="1">
        <f t="shared" si="2"/>
        <v>6</v>
      </c>
      <c r="E25" s="1">
        <f t="shared" si="3"/>
        <v>6</v>
      </c>
    </row>
    <row r="26" spans="2:7" x14ac:dyDescent="0.3">
      <c r="C26" s="1">
        <v>24</v>
      </c>
      <c r="D26" s="1">
        <f t="shared" si="2"/>
        <v>8</v>
      </c>
      <c r="E26" s="1">
        <f t="shared" si="3"/>
        <v>8</v>
      </c>
    </row>
    <row r="27" spans="2:7" x14ac:dyDescent="0.3">
      <c r="D27" t="s">
        <v>14</v>
      </c>
      <c r="E27" s="2">
        <f>SUM(E19:E26)</f>
        <v>36</v>
      </c>
      <c r="F27" t="s">
        <v>15</v>
      </c>
      <c r="G27">
        <f>AVERAGE(E19:E26)</f>
        <v>4.5</v>
      </c>
    </row>
    <row r="30" spans="2:7" x14ac:dyDescent="0.3">
      <c r="C30" s="3" t="s">
        <v>21</v>
      </c>
    </row>
    <row r="31" spans="2:7" x14ac:dyDescent="0.3">
      <c r="F31" t="s">
        <v>23</v>
      </c>
    </row>
    <row r="32" spans="2:7" x14ac:dyDescent="0.3">
      <c r="C32" s="1">
        <v>10</v>
      </c>
      <c r="E32" t="s">
        <v>17</v>
      </c>
      <c r="F32">
        <f>E33-(1.5*F37)</f>
        <v>-1.375</v>
      </c>
      <c r="G32" t="s">
        <v>18</v>
      </c>
    </row>
    <row r="33" spans="3:8" x14ac:dyDescent="0.3">
      <c r="C33" s="1">
        <v>11</v>
      </c>
      <c r="D33" t="s">
        <v>24</v>
      </c>
      <c r="E33">
        <f>QUARTILE(C32:C39,1)</f>
        <v>11.75</v>
      </c>
    </row>
    <row r="34" spans="3:8" x14ac:dyDescent="0.3">
      <c r="C34" s="1">
        <v>12</v>
      </c>
    </row>
    <row r="35" spans="3:8" x14ac:dyDescent="0.3">
      <c r="C35" s="1">
        <v>14</v>
      </c>
      <c r="D35" t="s">
        <v>25</v>
      </c>
      <c r="E35">
        <f>MEDIAN(C32:C39)</f>
        <v>14.5</v>
      </c>
    </row>
    <row r="36" spans="3:8" x14ac:dyDescent="0.3">
      <c r="C36" s="1">
        <v>15</v>
      </c>
      <c r="F36" t="s">
        <v>16</v>
      </c>
    </row>
    <row r="37" spans="3:8" x14ac:dyDescent="0.3">
      <c r="C37" s="1">
        <v>20</v>
      </c>
      <c r="F37">
        <f>E38-E33</f>
        <v>8.75</v>
      </c>
      <c r="G37" t="s">
        <v>20</v>
      </c>
    </row>
    <row r="38" spans="3:8" x14ac:dyDescent="0.3">
      <c r="C38" s="1">
        <v>22</v>
      </c>
      <c r="D38" t="s">
        <v>26</v>
      </c>
      <c r="E38">
        <f>QUARTILE(C32:C39,3)</f>
        <v>20.5</v>
      </c>
    </row>
    <row r="39" spans="3:8" x14ac:dyDescent="0.3">
      <c r="C39" s="1">
        <v>40</v>
      </c>
    </row>
    <row r="40" spans="3:8" x14ac:dyDescent="0.3">
      <c r="F40" t="s">
        <v>22</v>
      </c>
    </row>
    <row r="41" spans="3:8" x14ac:dyDescent="0.3">
      <c r="E41" t="s">
        <v>17</v>
      </c>
      <c r="F41">
        <f>E38+(1.5*F37)</f>
        <v>33.625</v>
      </c>
      <c r="G41" t="s">
        <v>19</v>
      </c>
    </row>
    <row r="44" spans="3:8" x14ac:dyDescent="0.3">
      <c r="C44" s="3" t="s">
        <v>27</v>
      </c>
    </row>
    <row r="46" spans="3:8" x14ac:dyDescent="0.3">
      <c r="C46" t="s">
        <v>28</v>
      </c>
      <c r="D46" t="s">
        <v>33</v>
      </c>
    </row>
    <row r="47" spans="3:8" x14ac:dyDescent="0.3">
      <c r="C47" s="1" t="s">
        <v>29</v>
      </c>
      <c r="D47" s="1">
        <v>2</v>
      </c>
      <c r="E47" s="1">
        <v>4</v>
      </c>
      <c r="F47" s="1">
        <v>3</v>
      </c>
      <c r="G47" s="1">
        <v>4</v>
      </c>
      <c r="H47" s="1">
        <v>5</v>
      </c>
    </row>
    <row r="48" spans="3:8" x14ac:dyDescent="0.3">
      <c r="C48" s="1" t="s">
        <v>30</v>
      </c>
      <c r="D48" s="1">
        <v>10</v>
      </c>
      <c r="E48" s="1">
        <v>11</v>
      </c>
      <c r="F48" s="1">
        <v>12</v>
      </c>
      <c r="G48" s="1">
        <v>14</v>
      </c>
      <c r="H48" s="1">
        <v>15</v>
      </c>
    </row>
    <row r="50" spans="2:8" x14ac:dyDescent="0.3">
      <c r="C50" t="s">
        <v>31</v>
      </c>
      <c r="D50" t="s">
        <v>34</v>
      </c>
    </row>
    <row r="51" spans="2:8" x14ac:dyDescent="0.3">
      <c r="C51" s="1" t="s">
        <v>29</v>
      </c>
      <c r="D51" s="1">
        <v>2</v>
      </c>
      <c r="E51" s="1">
        <v>4</v>
      </c>
      <c r="F51" s="1">
        <v>3</v>
      </c>
      <c r="G51" s="1">
        <v>4</v>
      </c>
      <c r="H51" s="1">
        <v>5</v>
      </c>
    </row>
    <row r="52" spans="2:8" x14ac:dyDescent="0.3">
      <c r="C52" s="1" t="s">
        <v>32</v>
      </c>
      <c r="D52" s="1">
        <v>9</v>
      </c>
      <c r="E52" s="1">
        <v>7</v>
      </c>
      <c r="F52" s="1">
        <v>7</v>
      </c>
      <c r="G52" s="1">
        <v>5</v>
      </c>
      <c r="H52" s="1">
        <v>5</v>
      </c>
    </row>
    <row r="54" spans="2:8" x14ac:dyDescent="0.3">
      <c r="C54" s="3" t="s">
        <v>35</v>
      </c>
    </row>
    <row r="55" spans="2:8" x14ac:dyDescent="0.3">
      <c r="C55" t="s">
        <v>36</v>
      </c>
    </row>
    <row r="57" spans="2:8" x14ac:dyDescent="0.3">
      <c r="B57" s="3" t="s">
        <v>39</v>
      </c>
    </row>
    <row r="58" spans="2:8" x14ac:dyDescent="0.3">
      <c r="B58" t="s">
        <v>42</v>
      </c>
      <c r="C58" t="s">
        <v>37</v>
      </c>
      <c r="D58" t="s">
        <v>38</v>
      </c>
    </row>
    <row r="59" spans="2:8" x14ac:dyDescent="0.3">
      <c r="B59">
        <v>73</v>
      </c>
      <c r="C59">
        <v>19</v>
      </c>
      <c r="D59">
        <v>170</v>
      </c>
    </row>
    <row r="60" spans="2:8" x14ac:dyDescent="0.3">
      <c r="B60">
        <v>65</v>
      </c>
      <c r="C60">
        <v>21</v>
      </c>
      <c r="D60">
        <v>167</v>
      </c>
      <c r="E60" t="s">
        <v>40</v>
      </c>
      <c r="F60" s="5">
        <f>CORREL(C59:C97,D59:D97)</f>
        <v>-0.28773067690951043</v>
      </c>
    </row>
    <row r="61" spans="2:8" x14ac:dyDescent="0.3">
      <c r="B61">
        <v>89</v>
      </c>
      <c r="C61">
        <v>18</v>
      </c>
      <c r="D61">
        <v>158</v>
      </c>
      <c r="F61" t="s">
        <v>41</v>
      </c>
    </row>
    <row r="62" spans="2:8" x14ac:dyDescent="0.3">
      <c r="B62">
        <v>85</v>
      </c>
      <c r="C62">
        <v>21</v>
      </c>
      <c r="D62">
        <v>152</v>
      </c>
      <c r="F62" s="4">
        <f>CORREL(B59:B97,C59:C97)</f>
        <v>-0.21997285745652564</v>
      </c>
    </row>
    <row r="63" spans="2:8" x14ac:dyDescent="0.3">
      <c r="B63">
        <v>72</v>
      </c>
      <c r="C63">
        <v>23</v>
      </c>
      <c r="D63">
        <v>148</v>
      </c>
    </row>
    <row r="64" spans="2:8" x14ac:dyDescent="0.3">
      <c r="B64">
        <v>86</v>
      </c>
      <c r="C64">
        <v>24</v>
      </c>
      <c r="D64">
        <v>149</v>
      </c>
    </row>
    <row r="65" spans="2:4" x14ac:dyDescent="0.3">
      <c r="B65">
        <v>68</v>
      </c>
      <c r="C65">
        <v>30</v>
      </c>
      <c r="D65">
        <v>149</v>
      </c>
    </row>
    <row r="66" spans="2:4" x14ac:dyDescent="0.3">
      <c r="B66">
        <v>80</v>
      </c>
      <c r="C66">
        <v>25</v>
      </c>
      <c r="D66">
        <v>151</v>
      </c>
    </row>
    <row r="67" spans="2:4" x14ac:dyDescent="0.3">
      <c r="B67">
        <v>72</v>
      </c>
      <c r="C67">
        <v>28</v>
      </c>
      <c r="D67">
        <v>147</v>
      </c>
    </row>
    <row r="68" spans="2:4" x14ac:dyDescent="0.3">
      <c r="B68">
        <v>72</v>
      </c>
      <c r="C68">
        <v>25</v>
      </c>
      <c r="D68">
        <v>159</v>
      </c>
    </row>
    <row r="69" spans="2:4" x14ac:dyDescent="0.3">
      <c r="B69">
        <v>66</v>
      </c>
      <c r="C69">
        <v>30</v>
      </c>
      <c r="D69">
        <v>143</v>
      </c>
    </row>
    <row r="70" spans="2:4" x14ac:dyDescent="0.3">
      <c r="B70">
        <v>73</v>
      </c>
      <c r="C70">
        <v>29</v>
      </c>
      <c r="D70">
        <v>150</v>
      </c>
    </row>
    <row r="71" spans="2:4" x14ac:dyDescent="0.3">
      <c r="B71">
        <v>88</v>
      </c>
      <c r="C71">
        <v>23</v>
      </c>
      <c r="D71">
        <v>145</v>
      </c>
    </row>
    <row r="72" spans="2:4" x14ac:dyDescent="0.3">
      <c r="B72">
        <v>85</v>
      </c>
      <c r="C72">
        <v>28</v>
      </c>
      <c r="D72">
        <v>167</v>
      </c>
    </row>
    <row r="73" spans="2:4" x14ac:dyDescent="0.3">
      <c r="B73">
        <v>89</v>
      </c>
      <c r="C73">
        <v>28</v>
      </c>
      <c r="D73">
        <v>159</v>
      </c>
    </row>
    <row r="74" spans="2:4" x14ac:dyDescent="0.3">
      <c r="B74">
        <v>75</v>
      </c>
      <c r="C74">
        <v>24</v>
      </c>
      <c r="D74">
        <v>159</v>
      </c>
    </row>
    <row r="75" spans="2:4" x14ac:dyDescent="0.3">
      <c r="B75">
        <v>76</v>
      </c>
      <c r="C75">
        <v>18</v>
      </c>
      <c r="D75">
        <v>158</v>
      </c>
    </row>
    <row r="76" spans="2:4" x14ac:dyDescent="0.3">
      <c r="B76">
        <v>78</v>
      </c>
      <c r="C76">
        <v>25</v>
      </c>
      <c r="D76">
        <v>165</v>
      </c>
    </row>
    <row r="77" spans="2:4" x14ac:dyDescent="0.3">
      <c r="B77">
        <v>67</v>
      </c>
      <c r="C77">
        <v>27</v>
      </c>
      <c r="D77">
        <v>140</v>
      </c>
    </row>
    <row r="78" spans="2:4" x14ac:dyDescent="0.3">
      <c r="B78">
        <v>81</v>
      </c>
      <c r="C78">
        <v>18</v>
      </c>
      <c r="D78">
        <v>158</v>
      </c>
    </row>
    <row r="79" spans="2:4" x14ac:dyDescent="0.3">
      <c r="B79">
        <v>72</v>
      </c>
      <c r="C79">
        <v>23</v>
      </c>
      <c r="D79">
        <v>147</v>
      </c>
    </row>
    <row r="80" spans="2:4" x14ac:dyDescent="0.3">
      <c r="B80">
        <v>74</v>
      </c>
      <c r="C80">
        <v>23</v>
      </c>
      <c r="D80">
        <v>141</v>
      </c>
    </row>
    <row r="81" spans="2:9" x14ac:dyDescent="0.3">
      <c r="B81">
        <v>76</v>
      </c>
      <c r="C81">
        <v>21</v>
      </c>
      <c r="D81">
        <v>157</v>
      </c>
    </row>
    <row r="82" spans="2:9" x14ac:dyDescent="0.3">
      <c r="B82">
        <v>85</v>
      </c>
      <c r="C82">
        <v>27</v>
      </c>
      <c r="D82">
        <v>142</v>
      </c>
    </row>
    <row r="83" spans="2:9" x14ac:dyDescent="0.3">
      <c r="B83">
        <v>81</v>
      </c>
      <c r="C83">
        <v>29</v>
      </c>
      <c r="D83">
        <v>146</v>
      </c>
    </row>
    <row r="84" spans="2:9" x14ac:dyDescent="0.3">
      <c r="B84">
        <v>79</v>
      </c>
      <c r="C84">
        <v>20</v>
      </c>
      <c r="D84">
        <v>147</v>
      </c>
    </row>
    <row r="85" spans="2:9" x14ac:dyDescent="0.3">
      <c r="B85">
        <v>70</v>
      </c>
      <c r="C85">
        <v>20</v>
      </c>
      <c r="D85">
        <v>149</v>
      </c>
    </row>
    <row r="86" spans="2:9" x14ac:dyDescent="0.3">
      <c r="B86">
        <v>81</v>
      </c>
      <c r="C86">
        <v>22</v>
      </c>
      <c r="D86">
        <v>152</v>
      </c>
    </row>
    <row r="87" spans="2:9" x14ac:dyDescent="0.3">
      <c r="B87">
        <v>69</v>
      </c>
      <c r="C87">
        <v>27</v>
      </c>
      <c r="D87">
        <v>142</v>
      </c>
    </row>
    <row r="88" spans="2:9" x14ac:dyDescent="0.3">
      <c r="B88">
        <v>90</v>
      </c>
      <c r="C88">
        <v>22</v>
      </c>
      <c r="D88">
        <v>152</v>
      </c>
    </row>
    <row r="89" spans="2:9" x14ac:dyDescent="0.3">
      <c r="B89">
        <v>81</v>
      </c>
      <c r="C89">
        <v>19</v>
      </c>
      <c r="D89">
        <v>141</v>
      </c>
    </row>
    <row r="90" spans="2:9" x14ac:dyDescent="0.3">
      <c r="B90">
        <v>65</v>
      </c>
      <c r="C90">
        <v>23</v>
      </c>
      <c r="D90">
        <v>165</v>
      </c>
    </row>
    <row r="91" spans="2:9" x14ac:dyDescent="0.3">
      <c r="B91">
        <v>74</v>
      </c>
      <c r="C91">
        <v>24</v>
      </c>
      <c r="D91">
        <v>157</v>
      </c>
    </row>
    <row r="92" spans="2:9" x14ac:dyDescent="0.3">
      <c r="B92">
        <v>67</v>
      </c>
      <c r="C92">
        <v>21</v>
      </c>
      <c r="D92">
        <v>163</v>
      </c>
    </row>
    <row r="93" spans="2:9" x14ac:dyDescent="0.3">
      <c r="B93">
        <v>69</v>
      </c>
      <c r="C93">
        <v>26</v>
      </c>
      <c r="D93">
        <v>150</v>
      </c>
    </row>
    <row r="94" spans="2:9" x14ac:dyDescent="0.3">
      <c r="B94">
        <v>65</v>
      </c>
      <c r="C94">
        <v>24</v>
      </c>
      <c r="D94">
        <v>162</v>
      </c>
    </row>
    <row r="95" spans="2:9" ht="15" thickBot="1" x14ac:dyDescent="0.35">
      <c r="B95">
        <v>68</v>
      </c>
      <c r="C95">
        <v>27</v>
      </c>
      <c r="D95">
        <v>157</v>
      </c>
      <c r="F95" s="3" t="s">
        <v>35</v>
      </c>
    </row>
    <row r="96" spans="2:9" x14ac:dyDescent="0.3">
      <c r="B96">
        <v>71</v>
      </c>
      <c r="C96">
        <v>24</v>
      </c>
      <c r="D96">
        <v>167</v>
      </c>
      <c r="F96" s="8"/>
      <c r="G96" s="8" t="s">
        <v>42</v>
      </c>
      <c r="H96" s="8" t="s">
        <v>37</v>
      </c>
      <c r="I96" s="8" t="s">
        <v>38</v>
      </c>
    </row>
    <row r="97" spans="2:9" x14ac:dyDescent="0.3">
      <c r="B97">
        <v>86</v>
      </c>
      <c r="C97">
        <v>20</v>
      </c>
      <c r="D97">
        <v>163</v>
      </c>
      <c r="F97" s="6" t="s">
        <v>42</v>
      </c>
      <c r="G97" s="6">
        <v>1</v>
      </c>
      <c r="H97" s="6"/>
      <c r="I97" s="6"/>
    </row>
    <row r="98" spans="2:9" x14ac:dyDescent="0.3">
      <c r="F98" s="6" t="s">
        <v>37</v>
      </c>
      <c r="G98" s="6">
        <v>-0.21997285745652564</v>
      </c>
      <c r="H98" s="6">
        <v>1</v>
      </c>
      <c r="I98" s="6"/>
    </row>
    <row r="99" spans="2:9" ht="15" thickBot="1" x14ac:dyDescent="0.35">
      <c r="F99" s="7" t="s">
        <v>38</v>
      </c>
      <c r="G99" s="7">
        <v>-6.3697857342980585E-2</v>
      </c>
      <c r="H99" s="7">
        <v>-0.28773067690951043</v>
      </c>
      <c r="I99" s="7">
        <v>1</v>
      </c>
    </row>
    <row r="101" spans="2:9" x14ac:dyDescent="0.3">
      <c r="B101" t="s">
        <v>51</v>
      </c>
    </row>
  </sheetData>
  <conditionalFormatting sqref="G97:I9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13866-CC51-4A41-8A23-163E6F18E0E1}">
  <dimension ref="A1:J19"/>
  <sheetViews>
    <sheetView workbookViewId="0">
      <selection activeCell="B10" sqref="B10"/>
    </sheetView>
  </sheetViews>
  <sheetFormatPr defaultRowHeight="14.4" x14ac:dyDescent="0.3"/>
  <sheetData>
    <row r="1" spans="1:10" x14ac:dyDescent="0.3">
      <c r="A1" t="s">
        <v>43</v>
      </c>
      <c r="B1" t="s">
        <v>44</v>
      </c>
      <c r="C1" t="s">
        <v>45</v>
      </c>
      <c r="D1" t="s">
        <v>46</v>
      </c>
      <c r="E1" t="s">
        <v>47</v>
      </c>
      <c r="F1" t="s">
        <v>48</v>
      </c>
      <c r="G1" t="s">
        <v>49</v>
      </c>
      <c r="H1" t="s">
        <v>50</v>
      </c>
    </row>
    <row r="2" spans="1:10" x14ac:dyDescent="0.3">
      <c r="A2">
        <v>23</v>
      </c>
      <c r="B2">
        <v>38</v>
      </c>
      <c r="C2">
        <v>20</v>
      </c>
      <c r="D2">
        <v>20</v>
      </c>
      <c r="E2">
        <v>48</v>
      </c>
      <c r="F2">
        <v>49</v>
      </c>
      <c r="G2">
        <v>28</v>
      </c>
      <c r="H2">
        <v>41</v>
      </c>
    </row>
    <row r="3" spans="1:10" x14ac:dyDescent="0.3">
      <c r="A3">
        <v>55</v>
      </c>
      <c r="B3">
        <v>40</v>
      </c>
      <c r="C3">
        <v>36</v>
      </c>
      <c r="D3">
        <v>30</v>
      </c>
      <c r="E3">
        <v>54</v>
      </c>
      <c r="F3">
        <v>54</v>
      </c>
      <c r="G3">
        <v>29</v>
      </c>
      <c r="H3">
        <v>36</v>
      </c>
    </row>
    <row r="4" spans="1:10" x14ac:dyDescent="0.3">
      <c r="A4">
        <v>21</v>
      </c>
      <c r="B4">
        <v>29</v>
      </c>
      <c r="C4">
        <v>31</v>
      </c>
      <c r="D4">
        <v>33</v>
      </c>
      <c r="E4">
        <v>39</v>
      </c>
      <c r="F4">
        <v>50</v>
      </c>
      <c r="G4">
        <v>21</v>
      </c>
      <c r="H4">
        <v>23</v>
      </c>
    </row>
    <row r="5" spans="1:10" x14ac:dyDescent="0.3">
      <c r="A5">
        <v>23</v>
      </c>
      <c r="B5">
        <v>35</v>
      </c>
      <c r="C5">
        <v>32</v>
      </c>
      <c r="D5">
        <v>41</v>
      </c>
      <c r="E5">
        <v>53</v>
      </c>
      <c r="F5">
        <v>55</v>
      </c>
      <c r="G5">
        <v>32</v>
      </c>
      <c r="H5">
        <v>55</v>
      </c>
    </row>
    <row r="6" spans="1:10" x14ac:dyDescent="0.3">
      <c r="A6">
        <v>32</v>
      </c>
      <c r="B6">
        <v>31</v>
      </c>
      <c r="C6">
        <v>26</v>
      </c>
      <c r="D6">
        <v>50</v>
      </c>
      <c r="E6">
        <v>55</v>
      </c>
      <c r="F6">
        <v>44</v>
      </c>
      <c r="G6">
        <v>44</v>
      </c>
      <c r="H6">
        <v>55</v>
      </c>
    </row>
    <row r="7" spans="1:10" x14ac:dyDescent="0.3">
      <c r="A7">
        <v>49</v>
      </c>
      <c r="B7">
        <v>39</v>
      </c>
      <c r="C7">
        <v>38</v>
      </c>
      <c r="D7">
        <v>20</v>
      </c>
      <c r="E7">
        <v>23</v>
      </c>
      <c r="F7">
        <v>37</v>
      </c>
      <c r="G7">
        <v>22</v>
      </c>
      <c r="H7">
        <v>29</v>
      </c>
    </row>
    <row r="8" spans="1:10" x14ac:dyDescent="0.3">
      <c r="A8">
        <v>40</v>
      </c>
      <c r="B8">
        <v>42</v>
      </c>
      <c r="C8">
        <v>53</v>
      </c>
      <c r="D8">
        <v>54</v>
      </c>
      <c r="E8">
        <v>29</v>
      </c>
      <c r="F8">
        <v>51</v>
      </c>
      <c r="G8">
        <v>39</v>
      </c>
      <c r="H8">
        <v>20</v>
      </c>
    </row>
    <row r="9" spans="1:10" x14ac:dyDescent="0.3">
      <c r="A9">
        <v>49</v>
      </c>
      <c r="B9">
        <v>55</v>
      </c>
      <c r="C9">
        <v>51</v>
      </c>
      <c r="D9">
        <v>30</v>
      </c>
      <c r="E9">
        <v>54</v>
      </c>
      <c r="F9">
        <v>49</v>
      </c>
      <c r="G9">
        <v>37</v>
      </c>
      <c r="H9">
        <v>32</v>
      </c>
    </row>
    <row r="10" spans="1:10" ht="15" thickBot="1" x14ac:dyDescent="0.35">
      <c r="B10" s="3" t="s">
        <v>35</v>
      </c>
    </row>
    <row r="11" spans="1:10" x14ac:dyDescent="0.3">
      <c r="B11" s="8"/>
      <c r="C11" s="8" t="s">
        <v>43</v>
      </c>
      <c r="D11" s="8" t="s">
        <v>44</v>
      </c>
      <c r="E11" s="8" t="s">
        <v>45</v>
      </c>
      <c r="F11" s="8" t="s">
        <v>46</v>
      </c>
      <c r="G11" s="8" t="s">
        <v>47</v>
      </c>
      <c r="H11" s="8" t="s">
        <v>48</v>
      </c>
      <c r="I11" s="8" t="s">
        <v>49</v>
      </c>
      <c r="J11" s="8" t="s">
        <v>50</v>
      </c>
    </row>
    <row r="12" spans="1:10" x14ac:dyDescent="0.3">
      <c r="B12" s="6" t="s">
        <v>43</v>
      </c>
      <c r="C12" s="6">
        <v>1</v>
      </c>
      <c r="D12" s="6"/>
      <c r="E12" s="6"/>
      <c r="F12" s="6"/>
      <c r="G12" s="6"/>
      <c r="H12" s="6"/>
      <c r="I12" s="6"/>
      <c r="J12" s="6"/>
    </row>
    <row r="13" spans="1:10" x14ac:dyDescent="0.3">
      <c r="B13" s="6" t="s">
        <v>44</v>
      </c>
      <c r="C13" s="6">
        <v>0.64229834360388449</v>
      </c>
      <c r="D13" s="6">
        <v>1</v>
      </c>
      <c r="E13" s="6"/>
      <c r="F13" s="6"/>
      <c r="G13" s="6"/>
      <c r="H13" s="6"/>
      <c r="I13" s="6"/>
      <c r="J13" s="6"/>
    </row>
    <row r="14" spans="1:10" x14ac:dyDescent="0.3">
      <c r="B14" s="6" t="s">
        <v>45</v>
      </c>
      <c r="C14" s="6">
        <v>0.61119930026878777</v>
      </c>
      <c r="D14" s="6">
        <v>0.70868150136531594</v>
      </c>
      <c r="E14" s="6">
        <v>1</v>
      </c>
      <c r="F14" s="6"/>
      <c r="G14" s="6"/>
      <c r="H14" s="6"/>
      <c r="I14" s="6"/>
      <c r="J14" s="6"/>
    </row>
    <row r="15" spans="1:10" x14ac:dyDescent="0.3">
      <c r="B15" s="6" t="s">
        <v>46</v>
      </c>
      <c r="C15" s="6">
        <v>-0.15839058423997915</v>
      </c>
      <c r="D15" s="6">
        <v>-0.19445194730992454</v>
      </c>
      <c r="E15" s="6">
        <v>0.28948378709143352</v>
      </c>
      <c r="F15" s="6">
        <v>1</v>
      </c>
      <c r="G15" s="6"/>
      <c r="H15" s="6"/>
      <c r="I15" s="6"/>
      <c r="J15" s="6"/>
    </row>
    <row r="16" spans="1:10" x14ac:dyDescent="0.3">
      <c r="B16" s="6" t="s">
        <v>47</v>
      </c>
      <c r="C16" s="6">
        <v>-0.12746566195540449</v>
      </c>
      <c r="D16" s="6">
        <v>6.8472912370963326E-2</v>
      </c>
      <c r="E16" s="6">
        <v>-0.32939803322650069</v>
      </c>
      <c r="F16" s="6">
        <v>8.9329473341859492E-2</v>
      </c>
      <c r="G16" s="6">
        <v>1</v>
      </c>
      <c r="H16" s="6"/>
      <c r="I16" s="6"/>
      <c r="J16" s="6"/>
    </row>
    <row r="17" spans="2:10" x14ac:dyDescent="0.3">
      <c r="B17" s="6" t="s">
        <v>48</v>
      </c>
      <c r="C17" s="6">
        <v>-0.22648852025063559</v>
      </c>
      <c r="D17" s="6">
        <v>4.916038467488703E-2</v>
      </c>
      <c r="E17" s="6">
        <v>6.6206909697359817E-2</v>
      </c>
      <c r="F17" s="6">
        <v>0.29480220897633347</v>
      </c>
      <c r="G17" s="6">
        <v>0.52477997410077182</v>
      </c>
      <c r="H17" s="6">
        <v>1</v>
      </c>
      <c r="I17" s="6"/>
      <c r="J17" s="6"/>
    </row>
    <row r="18" spans="2:10" x14ac:dyDescent="0.3">
      <c r="B18" s="6" t="s">
        <v>49</v>
      </c>
      <c r="C18" s="6">
        <v>9.9664038331966603E-2</v>
      </c>
      <c r="D18" s="6">
        <v>0.25227716257248783</v>
      </c>
      <c r="E18" s="6">
        <v>0.26533053428725312</v>
      </c>
      <c r="F18" s="6">
        <v>0.74053829114920044</v>
      </c>
      <c r="G18" s="6">
        <v>0.41583457956279529</v>
      </c>
      <c r="H18" s="6">
        <v>0.14146208826626788</v>
      </c>
      <c r="I18" s="6">
        <v>1</v>
      </c>
      <c r="J18" s="6"/>
    </row>
    <row r="19" spans="2:10" ht="15" thickBot="1" x14ac:dyDescent="0.35">
      <c r="B19" s="7" t="s">
        <v>50</v>
      </c>
      <c r="C19" s="7">
        <v>-0.31773643554822106</v>
      </c>
      <c r="D19" s="7">
        <v>-0.28811521126214834</v>
      </c>
      <c r="E19" s="7">
        <v>-0.58930423746680793</v>
      </c>
      <c r="F19" s="7">
        <v>0.14562526292363936</v>
      </c>
      <c r="G19" s="7">
        <v>0.69298088641404409</v>
      </c>
      <c r="H19" s="7">
        <v>0.10997449589265582</v>
      </c>
      <c r="I19" s="7">
        <v>0.3844482385104171</v>
      </c>
      <c r="J19" s="7">
        <v>1</v>
      </c>
    </row>
  </sheetData>
  <phoneticPr fontId="3" type="noConversion"/>
  <conditionalFormatting sqref="C12:J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72053-4F6E-43CA-85BC-C19AD1F157A3}">
  <dimension ref="A1:H19"/>
  <sheetViews>
    <sheetView workbookViewId="0">
      <selection activeCell="G19" sqref="G19"/>
    </sheetView>
  </sheetViews>
  <sheetFormatPr defaultRowHeight="14.4" x14ac:dyDescent="0.3"/>
  <cols>
    <col min="1" max="2" width="16.6640625" bestFit="1" customWidth="1"/>
    <col min="4" max="5" width="16.5546875" bestFit="1" customWidth="1"/>
    <col min="7" max="7" width="16.5546875" bestFit="1" customWidth="1"/>
  </cols>
  <sheetData>
    <row r="1" spans="1:8" x14ac:dyDescent="0.3">
      <c r="A1" t="s">
        <v>52</v>
      </c>
      <c r="B1" t="s">
        <v>52</v>
      </c>
      <c r="C1" t="s">
        <v>53</v>
      </c>
      <c r="E1" s="8" t="s">
        <v>52</v>
      </c>
      <c r="F1" s="8"/>
      <c r="G1" s="8" t="s">
        <v>53</v>
      </c>
      <c r="H1" s="8"/>
    </row>
    <row r="2" spans="1:8" x14ac:dyDescent="0.3">
      <c r="A2">
        <v>23</v>
      </c>
      <c r="B2">
        <v>23</v>
      </c>
      <c r="C2">
        <v>1400</v>
      </c>
      <c r="E2" s="6"/>
      <c r="F2" s="6"/>
      <c r="G2" s="6"/>
      <c r="H2" s="6"/>
    </row>
    <row r="3" spans="1:8" x14ac:dyDescent="0.3">
      <c r="A3">
        <v>45</v>
      </c>
      <c r="B3" s="9">
        <v>45</v>
      </c>
      <c r="C3">
        <v>1200</v>
      </c>
      <c r="E3" s="6" t="s">
        <v>56</v>
      </c>
      <c r="F3" s="6">
        <v>36.909090909090907</v>
      </c>
      <c r="G3" s="6" t="s">
        <v>56</v>
      </c>
      <c r="H3" s="6">
        <v>1312.8181818181818</v>
      </c>
    </row>
    <row r="4" spans="1:8" x14ac:dyDescent="0.3">
      <c r="A4">
        <v>22</v>
      </c>
      <c r="B4" s="9">
        <v>55</v>
      </c>
      <c r="C4">
        <v>1700</v>
      </c>
      <c r="E4" s="6" t="s">
        <v>57</v>
      </c>
      <c r="F4" s="6">
        <v>4.6874194207950151</v>
      </c>
      <c r="G4" s="6" t="s">
        <v>57</v>
      </c>
      <c r="H4" s="6">
        <v>133.97467998108098</v>
      </c>
    </row>
    <row r="5" spans="1:8" x14ac:dyDescent="0.3">
      <c r="A5">
        <v>44</v>
      </c>
      <c r="B5" s="9">
        <v>44</v>
      </c>
      <c r="C5">
        <v>2500</v>
      </c>
      <c r="E5" s="6" t="s">
        <v>1</v>
      </c>
      <c r="F5" s="6">
        <v>44</v>
      </c>
      <c r="G5" s="6" t="s">
        <v>1</v>
      </c>
      <c r="H5" s="6">
        <v>1200</v>
      </c>
    </row>
    <row r="6" spans="1:8" x14ac:dyDescent="0.3">
      <c r="A6">
        <v>21</v>
      </c>
      <c r="B6" s="9">
        <v>50</v>
      </c>
      <c r="C6">
        <v>1100</v>
      </c>
      <c r="E6" s="6" t="s">
        <v>58</v>
      </c>
      <c r="F6" s="6">
        <v>23</v>
      </c>
      <c r="G6" s="6" t="s">
        <v>58</v>
      </c>
      <c r="H6" s="6">
        <v>1000</v>
      </c>
    </row>
    <row r="7" spans="1:8" x14ac:dyDescent="0.3">
      <c r="A7">
        <v>20</v>
      </c>
      <c r="B7">
        <v>20</v>
      </c>
      <c r="C7">
        <v>1000</v>
      </c>
      <c r="E7" s="6" t="s">
        <v>59</v>
      </c>
      <c r="F7" s="6">
        <v>15.546411453802095</v>
      </c>
      <c r="G7" s="6" t="s">
        <v>59</v>
      </c>
      <c r="H7" s="6">
        <v>444.34374490518451</v>
      </c>
    </row>
    <row r="8" spans="1:8" x14ac:dyDescent="0.3">
      <c r="A8">
        <v>18</v>
      </c>
      <c r="B8">
        <v>18</v>
      </c>
      <c r="C8">
        <v>1210</v>
      </c>
      <c r="E8" s="6" t="s">
        <v>60</v>
      </c>
      <c r="F8" s="6">
        <v>241.690909090909</v>
      </c>
      <c r="G8" s="6" t="s">
        <v>60</v>
      </c>
      <c r="H8" s="6">
        <v>197441.36363636368</v>
      </c>
    </row>
    <row r="9" spans="1:8" x14ac:dyDescent="0.3">
      <c r="A9">
        <v>19</v>
      </c>
      <c r="B9" s="9">
        <v>49</v>
      </c>
      <c r="C9">
        <v>1110</v>
      </c>
      <c r="E9" s="6" t="s">
        <v>61</v>
      </c>
      <c r="F9" s="6">
        <v>-2.0907021102862333</v>
      </c>
      <c r="G9" s="6" t="s">
        <v>61</v>
      </c>
      <c r="H9" s="6">
        <v>5.4301782861683128</v>
      </c>
    </row>
    <row r="10" spans="1:8" x14ac:dyDescent="0.3">
      <c r="A10">
        <v>23</v>
      </c>
      <c r="B10" s="9">
        <v>57</v>
      </c>
      <c r="C10">
        <v>1010</v>
      </c>
      <c r="E10" s="6" t="s">
        <v>62</v>
      </c>
      <c r="F10" s="6">
        <v>-4.436305465799488E-2</v>
      </c>
      <c r="G10" s="6" t="s">
        <v>62</v>
      </c>
      <c r="H10" s="6">
        <v>2.2587856064567844</v>
      </c>
    </row>
    <row r="11" spans="1:8" x14ac:dyDescent="0.3">
      <c r="A11">
        <v>22</v>
      </c>
      <c r="B11">
        <v>22</v>
      </c>
      <c r="C11">
        <v>1000</v>
      </c>
      <c r="E11" s="6" t="s">
        <v>63</v>
      </c>
      <c r="F11" s="6">
        <v>39</v>
      </c>
      <c r="G11" s="6" t="s">
        <v>63</v>
      </c>
      <c r="H11" s="6">
        <v>1500</v>
      </c>
    </row>
    <row r="12" spans="1:8" x14ac:dyDescent="0.3">
      <c r="A12">
        <v>23</v>
      </c>
      <c r="B12">
        <v>23</v>
      </c>
      <c r="C12">
        <v>1211</v>
      </c>
      <c r="E12" s="6" t="s">
        <v>64</v>
      </c>
      <c r="F12" s="6">
        <v>18</v>
      </c>
      <c r="G12" s="6" t="s">
        <v>64</v>
      </c>
      <c r="H12" s="6">
        <v>1000</v>
      </c>
    </row>
    <row r="13" spans="1:8" x14ac:dyDescent="0.3">
      <c r="E13" s="6" t="s">
        <v>65</v>
      </c>
      <c r="F13" s="6">
        <v>57</v>
      </c>
      <c r="G13" s="6" t="s">
        <v>65</v>
      </c>
      <c r="H13" s="6">
        <v>2500</v>
      </c>
    </row>
    <row r="14" spans="1:8" x14ac:dyDescent="0.3">
      <c r="A14">
        <f>SKEW(A2:A12)</f>
        <v>1.7860773849689557</v>
      </c>
      <c r="B14">
        <f>SKEW(B2:B12)</f>
        <v>-4.436305465799488E-2</v>
      </c>
      <c r="E14" s="6" t="s">
        <v>66</v>
      </c>
      <c r="F14" s="6">
        <v>406</v>
      </c>
      <c r="G14" s="6" t="s">
        <v>66</v>
      </c>
      <c r="H14" s="6">
        <v>14441</v>
      </c>
    </row>
    <row r="15" spans="1:8" ht="15" thickBot="1" x14ac:dyDescent="0.35">
      <c r="A15" t="str">
        <f ca="1">_xlfn.FORMULATEXT(A14)</f>
        <v>=SKEW(A2:A12)</v>
      </c>
      <c r="B15" t="str">
        <f ca="1">_xlfn.FORMULATEXT(B14)</f>
        <v>=SKEW(B2:B12)</v>
      </c>
      <c r="E15" s="7" t="s">
        <v>67</v>
      </c>
      <c r="F15" s="7">
        <v>11</v>
      </c>
      <c r="G15" s="7" t="s">
        <v>67</v>
      </c>
      <c r="H15" s="7">
        <v>11</v>
      </c>
    </row>
    <row r="16" spans="1:8" x14ac:dyDescent="0.3">
      <c r="A16">
        <f>AVERAGE(A2:A12)</f>
        <v>25.454545454545453</v>
      </c>
      <c r="B16">
        <f>AVERAGE(B2:B12)</f>
        <v>36.909090909090907</v>
      </c>
    </row>
    <row r="17" spans="1:2" x14ac:dyDescent="0.3">
      <c r="A17" t="str">
        <f ca="1">_xlfn.FORMULATEXT(A16)</f>
        <v>=AVERAGE(A2:A12)</v>
      </c>
      <c r="B17" t="str">
        <f ca="1">_xlfn.FORMULATEXT(B16)</f>
        <v>=AVERAGE(B2:B12)</v>
      </c>
    </row>
    <row r="18" spans="1:2" x14ac:dyDescent="0.3">
      <c r="B18" t="s">
        <v>54</v>
      </c>
    </row>
    <row r="19" spans="1:2" x14ac:dyDescent="0.3">
      <c r="B19" t="s">
        <v>55</v>
      </c>
    </row>
  </sheetData>
  <pageMargins left="0.7" right="0.7" top="0.75" bottom="0.75" header="0.3" footer="0.3"/>
  <ignoredErrors>
    <ignoredError sqref="A16:B16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CDBE9-C94F-492F-9B01-D7A06F499ABC}">
  <dimension ref="A2:N76"/>
  <sheetViews>
    <sheetView tabSelected="1" topLeftCell="A54" workbookViewId="0">
      <selection activeCell="E68" sqref="E68"/>
    </sheetView>
  </sheetViews>
  <sheetFormatPr defaultRowHeight="14.4" x14ac:dyDescent="0.3"/>
  <cols>
    <col min="2" max="2" width="10.109375" customWidth="1"/>
    <col min="6" max="6" width="10.109375" customWidth="1"/>
    <col min="7" max="7" width="10" customWidth="1"/>
    <col min="9" max="9" width="13.44140625" customWidth="1"/>
    <col min="13" max="13" width="10.109375" bestFit="1" customWidth="1"/>
  </cols>
  <sheetData>
    <row r="2" spans="1:6" x14ac:dyDescent="0.3">
      <c r="B2" t="s">
        <v>68</v>
      </c>
      <c r="E2" t="s">
        <v>73</v>
      </c>
    </row>
    <row r="3" spans="1:6" x14ac:dyDescent="0.3">
      <c r="B3" s="10" t="s">
        <v>75</v>
      </c>
      <c r="C3" s="10"/>
      <c r="D3" s="10"/>
      <c r="E3" s="10" t="s">
        <v>74</v>
      </c>
    </row>
    <row r="4" spans="1:6" x14ac:dyDescent="0.3">
      <c r="B4" t="s">
        <v>69</v>
      </c>
      <c r="E4" t="s">
        <v>76</v>
      </c>
    </row>
    <row r="5" spans="1:6" x14ac:dyDescent="0.3">
      <c r="B5" t="s">
        <v>70</v>
      </c>
      <c r="E5" t="s">
        <v>73</v>
      </c>
    </row>
    <row r="6" spans="1:6" x14ac:dyDescent="0.3">
      <c r="B6" t="s">
        <v>71</v>
      </c>
      <c r="E6" t="s">
        <v>77</v>
      </c>
    </row>
    <row r="7" spans="1:6" x14ac:dyDescent="0.3">
      <c r="B7" t="s">
        <v>72</v>
      </c>
      <c r="E7" t="s">
        <v>78</v>
      </c>
    </row>
    <row r="9" spans="1:6" x14ac:dyDescent="0.3">
      <c r="A9">
        <v>1</v>
      </c>
      <c r="B9" t="s">
        <v>79</v>
      </c>
      <c r="C9" t="s">
        <v>73</v>
      </c>
    </row>
    <row r="11" spans="1:6" x14ac:dyDescent="0.3">
      <c r="B11" t="s">
        <v>80</v>
      </c>
    </row>
    <row r="12" spans="1:6" x14ac:dyDescent="0.3">
      <c r="A12" t="s">
        <v>68</v>
      </c>
      <c r="B12" t="s">
        <v>81</v>
      </c>
      <c r="C12" t="s">
        <v>82</v>
      </c>
      <c r="D12">
        <v>3</v>
      </c>
      <c r="E12" t="s">
        <v>83</v>
      </c>
      <c r="F12" t="s">
        <v>84</v>
      </c>
    </row>
    <row r="13" spans="1:6" x14ac:dyDescent="0.3">
      <c r="A13" t="s">
        <v>73</v>
      </c>
      <c r="B13" t="s">
        <v>81</v>
      </c>
      <c r="C13" t="s">
        <v>85</v>
      </c>
      <c r="D13">
        <v>240</v>
      </c>
      <c r="E13">
        <v>380</v>
      </c>
      <c r="F13">
        <v>180</v>
      </c>
    </row>
    <row r="15" spans="1:6" x14ac:dyDescent="0.3">
      <c r="A15" s="3" t="s">
        <v>89</v>
      </c>
    </row>
    <row r="16" spans="1:6" x14ac:dyDescent="0.3">
      <c r="A16" t="s">
        <v>86</v>
      </c>
    </row>
    <row r="17" spans="1:14" x14ac:dyDescent="0.3">
      <c r="A17" s="3" t="s">
        <v>88</v>
      </c>
    </row>
    <row r="18" spans="1:14" x14ac:dyDescent="0.3">
      <c r="A18" t="s">
        <v>87</v>
      </c>
    </row>
    <row r="19" spans="1:14" x14ac:dyDescent="0.3">
      <c r="A19" s="3" t="s">
        <v>90</v>
      </c>
    </row>
    <row r="20" spans="1:14" x14ac:dyDescent="0.3">
      <c r="A20" t="s">
        <v>91</v>
      </c>
    </row>
    <row r="22" spans="1:14" x14ac:dyDescent="0.3">
      <c r="B22" s="1" t="s">
        <v>92</v>
      </c>
      <c r="C22" s="1" t="s">
        <v>114</v>
      </c>
      <c r="D22" s="1"/>
      <c r="E22" s="1"/>
      <c r="G22" s="1" t="s">
        <v>96</v>
      </c>
      <c r="H22" s="1"/>
      <c r="I22" s="1"/>
      <c r="K22" s="1" t="s">
        <v>131</v>
      </c>
      <c r="L22" s="1"/>
      <c r="M22" s="1"/>
      <c r="N22" s="1"/>
    </row>
    <row r="23" spans="1:14" x14ac:dyDescent="0.3">
      <c r="B23" s="1" t="s">
        <v>115</v>
      </c>
      <c r="C23" s="1" t="s">
        <v>94</v>
      </c>
      <c r="D23" s="1" t="s">
        <v>95</v>
      </c>
      <c r="E23" s="1" t="s">
        <v>97</v>
      </c>
      <c r="G23" s="1" t="s">
        <v>127</v>
      </c>
      <c r="H23" s="1" t="s">
        <v>98</v>
      </c>
      <c r="I23" s="1" t="s">
        <v>136</v>
      </c>
      <c r="K23" s="1" t="s">
        <v>132</v>
      </c>
      <c r="L23" s="1" t="s">
        <v>133</v>
      </c>
      <c r="M23" s="1" t="s">
        <v>134</v>
      </c>
      <c r="N23" s="1" t="s">
        <v>135</v>
      </c>
    </row>
    <row r="24" spans="1:14" x14ac:dyDescent="0.3">
      <c r="B24" s="1" t="s">
        <v>81</v>
      </c>
      <c r="C24" s="1" t="s">
        <v>101</v>
      </c>
      <c r="D24" s="1" t="s">
        <v>106</v>
      </c>
      <c r="E24" s="1" t="s">
        <v>82</v>
      </c>
      <c r="G24" s="1" t="s">
        <v>107</v>
      </c>
      <c r="H24" s="1">
        <v>20000</v>
      </c>
      <c r="I24" s="11" t="s">
        <v>128</v>
      </c>
    </row>
    <row r="25" spans="1:14" x14ac:dyDescent="0.3">
      <c r="B25" s="1" t="s">
        <v>99</v>
      </c>
      <c r="C25" s="1" t="s">
        <v>102</v>
      </c>
      <c r="D25" s="1" t="s">
        <v>105</v>
      </c>
      <c r="E25" s="1" t="s">
        <v>109</v>
      </c>
      <c r="G25" s="1" t="s">
        <v>81</v>
      </c>
      <c r="H25" s="1">
        <v>40000</v>
      </c>
      <c r="I25" s="11" t="s">
        <v>129</v>
      </c>
    </row>
    <row r="26" spans="1:14" x14ac:dyDescent="0.3">
      <c r="B26" s="1" t="s">
        <v>100</v>
      </c>
      <c r="C26" s="1" t="s">
        <v>103</v>
      </c>
      <c r="D26" s="1" t="s">
        <v>104</v>
      </c>
      <c r="E26" s="1" t="s">
        <v>110</v>
      </c>
      <c r="G26" s="1" t="s">
        <v>108</v>
      </c>
      <c r="H26" s="1">
        <v>25000</v>
      </c>
      <c r="I26" s="11" t="s">
        <v>130</v>
      </c>
    </row>
    <row r="28" spans="1:14" x14ac:dyDescent="0.3">
      <c r="B28" t="s">
        <v>111</v>
      </c>
    </row>
    <row r="29" spans="1:14" x14ac:dyDescent="0.3">
      <c r="B29" t="s">
        <v>93</v>
      </c>
      <c r="C29" t="s">
        <v>94</v>
      </c>
      <c r="D29" t="s">
        <v>95</v>
      </c>
      <c r="E29" t="s">
        <v>69</v>
      </c>
      <c r="F29" t="s">
        <v>98</v>
      </c>
    </row>
    <row r="30" spans="1:14" x14ac:dyDescent="0.3">
      <c r="B30" t="s">
        <v>81</v>
      </c>
      <c r="C30" t="s">
        <v>101</v>
      </c>
      <c r="D30" t="s">
        <v>106</v>
      </c>
      <c r="E30" t="s">
        <v>109</v>
      </c>
      <c r="F30">
        <v>40000</v>
      </c>
    </row>
    <row r="31" spans="1:14" x14ac:dyDescent="0.3">
      <c r="A31" t="s">
        <v>125</v>
      </c>
    </row>
    <row r="32" spans="1:14" x14ac:dyDescent="0.3">
      <c r="A32" t="s">
        <v>126</v>
      </c>
    </row>
    <row r="34" spans="1:2" x14ac:dyDescent="0.3">
      <c r="A34" s="3" t="s">
        <v>112</v>
      </c>
    </row>
    <row r="35" spans="1:2" x14ac:dyDescent="0.3">
      <c r="A35" t="s">
        <v>113</v>
      </c>
    </row>
    <row r="36" spans="1:2" x14ac:dyDescent="0.3">
      <c r="A36" t="s">
        <v>121</v>
      </c>
    </row>
    <row r="37" spans="1:2" x14ac:dyDescent="0.3">
      <c r="B37" t="s">
        <v>119</v>
      </c>
    </row>
    <row r="38" spans="1:2" x14ac:dyDescent="0.3">
      <c r="B38" t="s">
        <v>120</v>
      </c>
    </row>
    <row r="40" spans="1:2" x14ac:dyDescent="0.3">
      <c r="A40" t="s">
        <v>117</v>
      </c>
    </row>
    <row r="41" spans="1:2" x14ac:dyDescent="0.3">
      <c r="A41" t="s">
        <v>118</v>
      </c>
    </row>
    <row r="42" spans="1:2" x14ac:dyDescent="0.3">
      <c r="A42" t="s">
        <v>116</v>
      </c>
    </row>
    <row r="44" spans="1:2" x14ac:dyDescent="0.3">
      <c r="A44" t="s">
        <v>122</v>
      </c>
    </row>
    <row r="45" spans="1:2" x14ac:dyDescent="0.3">
      <c r="B45" t="s">
        <v>123</v>
      </c>
    </row>
    <row r="46" spans="1:2" x14ac:dyDescent="0.3">
      <c r="B46" t="s">
        <v>124</v>
      </c>
    </row>
    <row r="48" spans="1:2" x14ac:dyDescent="0.3">
      <c r="A48" t="s">
        <v>137</v>
      </c>
    </row>
    <row r="49" spans="1:5" x14ac:dyDescent="0.3">
      <c r="A49" t="s">
        <v>146</v>
      </c>
    </row>
    <row r="50" spans="1:5" x14ac:dyDescent="0.3">
      <c r="A50" t="s">
        <v>138</v>
      </c>
    </row>
    <row r="51" spans="1:5" x14ac:dyDescent="0.3">
      <c r="A51" t="s">
        <v>147</v>
      </c>
    </row>
    <row r="52" spans="1:5" x14ac:dyDescent="0.3">
      <c r="A52" t="s">
        <v>139</v>
      </c>
    </row>
    <row r="53" spans="1:5" x14ac:dyDescent="0.3">
      <c r="A53" t="s">
        <v>140</v>
      </c>
    </row>
    <row r="55" spans="1:5" x14ac:dyDescent="0.3">
      <c r="A55" t="s">
        <v>141</v>
      </c>
    </row>
    <row r="56" spans="1:5" x14ac:dyDescent="0.3">
      <c r="A56" t="s">
        <v>145</v>
      </c>
    </row>
    <row r="57" spans="1:5" x14ac:dyDescent="0.3">
      <c r="A57" t="s">
        <v>142</v>
      </c>
    </row>
    <row r="58" spans="1:5" x14ac:dyDescent="0.3">
      <c r="A58" t="s">
        <v>148</v>
      </c>
    </row>
    <row r="59" spans="1:5" x14ac:dyDescent="0.3">
      <c r="A59" t="s">
        <v>143</v>
      </c>
    </row>
    <row r="60" spans="1:5" x14ac:dyDescent="0.3">
      <c r="A60" t="s">
        <v>144</v>
      </c>
    </row>
    <row r="64" spans="1:5" x14ac:dyDescent="0.3">
      <c r="A64" t="s">
        <v>150</v>
      </c>
      <c r="B64" s="1" t="s">
        <v>97</v>
      </c>
      <c r="C64" s="1" t="s">
        <v>98</v>
      </c>
      <c r="D64" s="1" t="s">
        <v>149</v>
      </c>
      <c r="E64" s="1" t="s">
        <v>102</v>
      </c>
    </row>
    <row r="65" spans="1:5" x14ac:dyDescent="0.3">
      <c r="A65" t="s">
        <v>151</v>
      </c>
      <c r="B65" s="1" t="s">
        <v>152</v>
      </c>
      <c r="C65" s="1" t="s">
        <v>152</v>
      </c>
      <c r="D65" s="1" t="s">
        <v>155</v>
      </c>
      <c r="E65" s="1" t="s">
        <v>159</v>
      </c>
    </row>
    <row r="66" spans="1:5" x14ac:dyDescent="0.3">
      <c r="B66" s="1" t="s">
        <v>69</v>
      </c>
      <c r="C66" s="1" t="s">
        <v>98</v>
      </c>
      <c r="D66" s="1" t="s">
        <v>133</v>
      </c>
      <c r="E66" s="1" t="s">
        <v>160</v>
      </c>
    </row>
    <row r="67" spans="1:5" x14ac:dyDescent="0.3">
      <c r="B67" s="1" t="s">
        <v>153</v>
      </c>
      <c r="C67" s="1" t="s">
        <v>154</v>
      </c>
      <c r="D67" s="1" t="s">
        <v>156</v>
      </c>
      <c r="E67" s="1" t="s">
        <v>161</v>
      </c>
    </row>
    <row r="68" spans="1:5" x14ac:dyDescent="0.3">
      <c r="B68" s="1"/>
      <c r="C68" s="11" t="s">
        <v>158</v>
      </c>
      <c r="D68" s="11" t="s">
        <v>157</v>
      </c>
      <c r="E68" s="11" t="s">
        <v>162</v>
      </c>
    </row>
    <row r="70" spans="1:5" x14ac:dyDescent="0.3">
      <c r="B70" t="s">
        <v>163</v>
      </c>
      <c r="C70" t="s">
        <v>164</v>
      </c>
    </row>
    <row r="72" spans="1:5" x14ac:dyDescent="0.3">
      <c r="B72" t="s">
        <v>97</v>
      </c>
      <c r="D72" t="s">
        <v>98</v>
      </c>
    </row>
    <row r="76" spans="1:5" x14ac:dyDescent="0.3">
      <c r="B76" t="s">
        <v>149</v>
      </c>
      <c r="D76" t="s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Skewness</vt:lpstr>
      <vt:lpstr>PowerBi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Patel</dc:creator>
  <cp:lastModifiedBy>Sandeep Patel</cp:lastModifiedBy>
  <dcterms:created xsi:type="dcterms:W3CDTF">2026-04-12T07:15:01Z</dcterms:created>
  <dcterms:modified xsi:type="dcterms:W3CDTF">2026-04-20T18:45:40Z</dcterms:modified>
</cp:coreProperties>
</file>