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New folder\DS\"/>
    </mc:Choice>
  </mc:AlternateContent>
  <xr:revisionPtr revIDLastSave="0" documentId="13_ncr:1_{9E6B524B-B876-4F00-B516-96C467859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definedNames>
    <definedName name="ExternalData_1" localSheetId="0" hidden="1">Table1!$A$1:$H$51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4" l="1"/>
  <c r="F26" i="4"/>
  <c r="F27" i="4"/>
  <c r="F24" i="4"/>
  <c r="F11" i="4"/>
  <c r="E26" i="4"/>
  <c r="E25" i="4"/>
  <c r="E24" i="4"/>
  <c r="E27" i="4" s="1"/>
  <c r="E17" i="4"/>
  <c r="E11" i="4"/>
  <c r="M8" i="2"/>
  <c r="M7" i="2"/>
  <c r="K12" i="2" a="1"/>
  <c r="K12" i="2" s="1"/>
  <c r="F34" i="3"/>
  <c r="G34" i="3"/>
  <c r="H34" i="3"/>
  <c r="G25" i="3"/>
  <c r="F25" i="3"/>
  <c r="H14" i="3"/>
  <c r="H15" i="3"/>
  <c r="H13" i="3"/>
  <c r="T6" i="2"/>
  <c r="T5" i="2"/>
  <c r="K10" i="2"/>
  <c r="L8" i="2"/>
  <c r="L7" i="2"/>
  <c r="K9" i="2"/>
  <c r="K8" i="2"/>
  <c r="K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A8617-B407-44F1-8A0C-6D9D91AC30F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<sst xmlns="http://schemas.openxmlformats.org/spreadsheetml/2006/main" count="449" uniqueCount="63">
  <si>
    <t xml:space="preserve">Customer </t>
  </si>
  <si>
    <t xml:space="preserve">Age </t>
  </si>
  <si>
    <t>Sex</t>
  </si>
  <si>
    <t>Groceries</t>
  </si>
  <si>
    <t>Choco-bars</t>
  </si>
  <si>
    <t xml:space="preserve">Type </t>
  </si>
  <si>
    <t xml:space="preserve">Satisfied </t>
  </si>
  <si>
    <t>Bulk</t>
  </si>
  <si>
    <t>Male</t>
  </si>
  <si>
    <t>Female</t>
  </si>
  <si>
    <t>White</t>
  </si>
  <si>
    <t>Dark</t>
  </si>
  <si>
    <t>Milk</t>
  </si>
  <si>
    <t>Vlookup</t>
  </si>
  <si>
    <t>Hlookup</t>
  </si>
  <si>
    <t>Lookup</t>
  </si>
  <si>
    <t>Search</t>
  </si>
  <si>
    <t>ID</t>
  </si>
  <si>
    <t>Name</t>
  </si>
  <si>
    <t>A</t>
  </si>
  <si>
    <t>B</t>
  </si>
  <si>
    <t>Rahul</t>
  </si>
  <si>
    <t>Sanjay</t>
  </si>
  <si>
    <t>Sneha</t>
  </si>
  <si>
    <t>Age</t>
  </si>
  <si>
    <t>Score</t>
  </si>
  <si>
    <t>Grade</t>
  </si>
  <si>
    <t>F</t>
  </si>
  <si>
    <t>D</t>
  </si>
  <si>
    <t>C</t>
  </si>
  <si>
    <t>Phone</t>
  </si>
  <si>
    <t>X</t>
  </si>
  <si>
    <t>E</t>
  </si>
  <si>
    <t>Phone1</t>
  </si>
  <si>
    <t>Phone2</t>
  </si>
  <si>
    <t>Find Largest value less than or equal to 75</t>
  </si>
  <si>
    <t>Vlookup for Approx match</t>
  </si>
  <si>
    <t>Salary</t>
  </si>
  <si>
    <t>Tax Rate</t>
  </si>
  <si>
    <t>Marks</t>
  </si>
  <si>
    <t>AA</t>
  </si>
  <si>
    <t>AAA</t>
  </si>
  <si>
    <t>AB</t>
  </si>
  <si>
    <t xml:space="preserve"> </t>
  </si>
  <si>
    <t>Xlookup</t>
  </si>
  <si>
    <t>Goal Seek Simulation (What If Analysis)</t>
  </si>
  <si>
    <t>What will be change</t>
  </si>
  <si>
    <t>Revenue</t>
  </si>
  <si>
    <t>Cost</t>
  </si>
  <si>
    <t>Expenses</t>
  </si>
  <si>
    <t>Profit</t>
  </si>
  <si>
    <t>Sales</t>
  </si>
  <si>
    <t>Price</t>
  </si>
  <si>
    <t>Unit Sold</t>
  </si>
  <si>
    <t>Fixed Cost</t>
  </si>
  <si>
    <t>Total Revenue</t>
  </si>
  <si>
    <t>Total Variable Cost</t>
  </si>
  <si>
    <t>Total Cost</t>
  </si>
  <si>
    <t>Variable Cost/unit</t>
  </si>
  <si>
    <t xml:space="preserve">Sum of Age 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</si>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</sst>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2" xfId="0" applyBorder="1"/>
    <xf numFmtId="9" fontId="0" fillId="0" borderId="2" xfId="0" applyNumberFormat="1" applyBorder="1"/>
    <xf numFmtId="0" fontId="2" fillId="0" borderId="0" xfId="0" applyFont="1"/>
    <xf numFmtId="9" fontId="0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fill>
        <patternFill patternType="solid">
          <fgColor indexed="64"/>
          <bgColor theme="2"/>
        </patternFill>
      </fill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[Example.xlsx]Sheet5!PivotTable2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Sheet5!$B$1:$B$2</c:f>
              <c:strCache>
                <c:ptCount val="1"/>
                <c:pt idx="0">
                  <c:v>Dark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Sheet5!$B$3:$B$5</c:f>
              <c:numCache>
                <c:formatCode>General</c:formatCode>
                <c:ptCount val="2"/>
                <c:pt idx="0">
                  <c:v>244</c:v>
                </c:pt>
                <c:pt idx="1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4-4A50-814B-0B089A033A10}"/>
            </c:ext>
          </c:extLst>
        </c:ser>
        <c:ser>
          <c:idx val="1"/>
          <c:order val="1"/>
          <c:tx>
            <c:strRef>
              <c:f>Sheet5!$C$1:$C$2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Sheet5!$C$3:$C$5</c:f>
              <c:numCache>
                <c:formatCode>General</c:formatCode>
                <c:ptCount val="2"/>
                <c:pt idx="0">
                  <c:v>166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4-4A50-814B-0B089A033A10}"/>
            </c:ext>
          </c:extLst>
        </c:ser>
        <c:ser>
          <c:idx val="2"/>
          <c:order val="2"/>
          <c:tx>
            <c:strRef>
              <c:f>Sheet5!$D$1:$D$2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Sheet5!$D$3:$D$5</c:f>
              <c:numCache>
                <c:formatCode>General</c:formatCode>
                <c:ptCount val="2"/>
                <c:pt idx="0">
                  <c:v>272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84-4A50-814B-0B089A033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2566815"/>
        <c:axId val="692567295"/>
      </c:barChart>
      <c:catAx>
        <c:axId val="692566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67295"/>
        <c:crosses val="autoZero"/>
        <c:auto val="1"/>
        <c:lblAlgn val="ctr"/>
        <c:lblOffset val="100"/>
        <c:noMultiLvlLbl val="0"/>
      </c:catAx>
      <c:valAx>
        <c:axId val="69256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6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0</xdr:row>
      <xdr:rowOff>76200</xdr:rowOff>
    </xdr:from>
    <xdr:to>
      <xdr:col>13</xdr:col>
      <xdr:colOff>236220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D0CF0-23EB-E2A0-C4BC-E70897552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Patel" refreshedDate="46117.52503715278" createdVersion="8" refreshedVersion="8" minRefreshableVersion="3" recordCount="50" xr:uid="{47C784DA-2930-470D-882D-D421169F7EE4}">
  <cacheSource type="worksheet">
    <worksheetSource ref="A1:H51" sheet="Sheet1"/>
  </cacheSource>
  <cacheFields count="8">
    <cacheField name="Customer " numFmtId="0">
      <sharedItems containsSemiMixedTypes="0" containsString="0" containsNumber="1" containsInteger="1" minValue="1" maxValue="50"/>
    </cacheField>
    <cacheField name="Age " numFmtId="0">
      <sharedItems containsSemiMixedTypes="0" containsString="0" containsNumber="1" containsInteger="1" minValue="18" maxValue="45"/>
    </cacheField>
    <cacheField name="Sex" numFmtId="0">
      <sharedItems count="2">
        <s v="Male"/>
        <s v="Female"/>
      </sharedItems>
    </cacheField>
    <cacheField name="Groceries" numFmtId="0">
      <sharedItems containsSemiMixedTypes="0" containsString="0" containsNumber="1" containsInteger="1" minValue="150" maxValue="250"/>
    </cacheField>
    <cacheField name="Choco-bars" numFmtId="0">
      <sharedItems containsSemiMixedTypes="0" containsString="0" containsNumber="1" containsInteger="1" minValue="2" maxValue="5"/>
    </cacheField>
    <cacheField name="Type " numFmtId="0">
      <sharedItems count="3">
        <s v="White"/>
        <s v="Milk"/>
        <s v="Dark"/>
      </sharedItems>
    </cacheField>
    <cacheField name="Satisfied " numFmtId="0">
      <sharedItems containsSemiMixedTypes="0" containsString="0" containsNumber="1" containsInteger="1" minValue="1" maxValue="4"/>
    </cacheField>
    <cacheField name="Bulk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36"/>
    <x v="0"/>
    <n v="180"/>
    <n v="3"/>
    <x v="0"/>
    <n v="4"/>
    <n v="3"/>
  </r>
  <r>
    <n v="2"/>
    <n v="45"/>
    <x v="0"/>
    <n v="180"/>
    <n v="4"/>
    <x v="1"/>
    <n v="3"/>
    <n v="2"/>
  </r>
  <r>
    <n v="3"/>
    <n v="20"/>
    <x v="1"/>
    <n v="220"/>
    <n v="3"/>
    <x v="0"/>
    <n v="2"/>
    <n v="3"/>
  </r>
  <r>
    <n v="4"/>
    <n v="27"/>
    <x v="1"/>
    <n v="180"/>
    <n v="2"/>
    <x v="0"/>
    <n v="4"/>
    <n v="2"/>
  </r>
  <r>
    <n v="5"/>
    <n v="22"/>
    <x v="1"/>
    <n v="220"/>
    <n v="5"/>
    <x v="1"/>
    <n v="3"/>
    <n v="2"/>
  </r>
  <r>
    <n v="6"/>
    <n v="39"/>
    <x v="0"/>
    <n v="150"/>
    <n v="2"/>
    <x v="2"/>
    <n v="4"/>
    <n v="2"/>
  </r>
  <r>
    <n v="7"/>
    <n v="30"/>
    <x v="0"/>
    <n v="220"/>
    <n v="5"/>
    <x v="2"/>
    <n v="2"/>
    <n v="4"/>
  </r>
  <r>
    <n v="8"/>
    <n v="42"/>
    <x v="0"/>
    <n v="220"/>
    <n v="2"/>
    <x v="1"/>
    <n v="4"/>
    <n v="1"/>
  </r>
  <r>
    <n v="9"/>
    <n v="20"/>
    <x v="1"/>
    <n v="250"/>
    <n v="3"/>
    <x v="0"/>
    <n v="4"/>
    <n v="4"/>
  </r>
  <r>
    <n v="10"/>
    <n v="40"/>
    <x v="1"/>
    <n v="180"/>
    <n v="2"/>
    <x v="1"/>
    <n v="3"/>
    <n v="1"/>
  </r>
  <r>
    <n v="11"/>
    <n v="38"/>
    <x v="1"/>
    <n v="180"/>
    <n v="2"/>
    <x v="0"/>
    <n v="2"/>
    <n v="3"/>
  </r>
  <r>
    <n v="12"/>
    <n v="31"/>
    <x v="0"/>
    <n v="150"/>
    <n v="4"/>
    <x v="2"/>
    <n v="2"/>
    <n v="1"/>
  </r>
  <r>
    <n v="13"/>
    <n v="19"/>
    <x v="0"/>
    <n v="220"/>
    <n v="2"/>
    <x v="2"/>
    <n v="2"/>
    <n v="3"/>
  </r>
  <r>
    <n v="14"/>
    <n v="23"/>
    <x v="0"/>
    <n v="180"/>
    <n v="5"/>
    <x v="2"/>
    <n v="1"/>
    <n v="4"/>
  </r>
  <r>
    <n v="15"/>
    <n v="36"/>
    <x v="1"/>
    <n v="200"/>
    <n v="2"/>
    <x v="0"/>
    <n v="4"/>
    <n v="1"/>
  </r>
  <r>
    <n v="16"/>
    <n v="24"/>
    <x v="1"/>
    <n v="150"/>
    <n v="3"/>
    <x v="0"/>
    <n v="3"/>
    <n v="4"/>
  </r>
  <r>
    <n v="17"/>
    <n v="28"/>
    <x v="1"/>
    <n v="220"/>
    <n v="4"/>
    <x v="1"/>
    <n v="1"/>
    <n v="3"/>
  </r>
  <r>
    <n v="18"/>
    <n v="25"/>
    <x v="0"/>
    <n v="220"/>
    <n v="3"/>
    <x v="2"/>
    <n v="3"/>
    <n v="3"/>
  </r>
  <r>
    <n v="19"/>
    <n v="34"/>
    <x v="0"/>
    <n v="220"/>
    <n v="4"/>
    <x v="2"/>
    <n v="4"/>
    <n v="1"/>
  </r>
  <r>
    <n v="20"/>
    <n v="39"/>
    <x v="0"/>
    <n v="200"/>
    <n v="4"/>
    <x v="2"/>
    <n v="4"/>
    <n v="2"/>
  </r>
  <r>
    <n v="21"/>
    <n v="20"/>
    <x v="1"/>
    <n v="220"/>
    <n v="5"/>
    <x v="2"/>
    <n v="4"/>
    <n v="1"/>
  </r>
  <r>
    <n v="22"/>
    <n v="44"/>
    <x v="1"/>
    <n v="200"/>
    <n v="3"/>
    <x v="1"/>
    <n v="4"/>
    <n v="4"/>
  </r>
  <r>
    <n v="23"/>
    <n v="20"/>
    <x v="1"/>
    <n v="220"/>
    <n v="3"/>
    <x v="2"/>
    <n v="2"/>
    <n v="4"/>
  </r>
  <r>
    <n v="24"/>
    <n v="31"/>
    <x v="0"/>
    <n v="250"/>
    <n v="4"/>
    <x v="2"/>
    <n v="4"/>
    <n v="4"/>
  </r>
  <r>
    <n v="25"/>
    <n v="32"/>
    <x v="0"/>
    <n v="250"/>
    <n v="3"/>
    <x v="1"/>
    <n v="1"/>
    <n v="3"/>
  </r>
  <r>
    <n v="26"/>
    <n v="29"/>
    <x v="0"/>
    <n v="180"/>
    <n v="3"/>
    <x v="2"/>
    <n v="1"/>
    <n v="4"/>
  </r>
  <r>
    <n v="27"/>
    <n v="22"/>
    <x v="1"/>
    <n v="150"/>
    <n v="4"/>
    <x v="2"/>
    <n v="3"/>
    <n v="3"/>
  </r>
  <r>
    <n v="28"/>
    <n v="19"/>
    <x v="1"/>
    <n v="200"/>
    <n v="2"/>
    <x v="2"/>
    <n v="3"/>
    <n v="2"/>
  </r>
  <r>
    <n v="29"/>
    <n v="40"/>
    <x v="1"/>
    <n v="150"/>
    <n v="4"/>
    <x v="2"/>
    <n v="2"/>
    <n v="1"/>
  </r>
  <r>
    <n v="30"/>
    <n v="29"/>
    <x v="0"/>
    <n v="250"/>
    <n v="3"/>
    <x v="0"/>
    <n v="4"/>
    <n v="4"/>
  </r>
  <r>
    <n v="31"/>
    <n v="40"/>
    <x v="0"/>
    <n v="220"/>
    <n v="5"/>
    <x v="0"/>
    <n v="1"/>
    <n v="1"/>
  </r>
  <r>
    <n v="32"/>
    <n v="36"/>
    <x v="0"/>
    <n v="180"/>
    <n v="5"/>
    <x v="1"/>
    <n v="2"/>
    <n v="3"/>
  </r>
  <r>
    <n v="33"/>
    <n v="22"/>
    <x v="1"/>
    <n v="150"/>
    <n v="5"/>
    <x v="2"/>
    <n v="2"/>
    <n v="2"/>
  </r>
  <r>
    <n v="34"/>
    <n v="32"/>
    <x v="1"/>
    <n v="200"/>
    <n v="5"/>
    <x v="1"/>
    <n v="1"/>
    <n v="1"/>
  </r>
  <r>
    <n v="35"/>
    <n v="18"/>
    <x v="1"/>
    <n v="150"/>
    <n v="2"/>
    <x v="2"/>
    <n v="3"/>
    <n v="1"/>
  </r>
  <r>
    <n v="36"/>
    <n v="45"/>
    <x v="0"/>
    <n v="150"/>
    <n v="2"/>
    <x v="2"/>
    <n v="1"/>
    <n v="3"/>
  </r>
  <r>
    <n v="37"/>
    <n v="23"/>
    <x v="0"/>
    <n v="220"/>
    <n v="4"/>
    <x v="2"/>
    <n v="3"/>
    <n v="2"/>
  </r>
  <r>
    <n v="38"/>
    <n v="42"/>
    <x v="0"/>
    <n v="200"/>
    <n v="2"/>
    <x v="1"/>
    <n v="3"/>
    <n v="3"/>
  </r>
  <r>
    <n v="39"/>
    <n v="20"/>
    <x v="1"/>
    <n v="150"/>
    <n v="5"/>
    <x v="2"/>
    <n v="2"/>
    <n v="4"/>
  </r>
  <r>
    <n v="40"/>
    <n v="44"/>
    <x v="1"/>
    <n v="250"/>
    <n v="3"/>
    <x v="0"/>
    <n v="3"/>
    <n v="3"/>
  </r>
  <r>
    <n v="41"/>
    <n v="23"/>
    <x v="1"/>
    <n v="220"/>
    <n v="4"/>
    <x v="2"/>
    <n v="2"/>
    <n v="1"/>
  </r>
  <r>
    <n v="42"/>
    <n v="24"/>
    <x v="0"/>
    <n v="150"/>
    <n v="2"/>
    <x v="2"/>
    <n v="2"/>
    <n v="1"/>
  </r>
  <r>
    <n v="43"/>
    <n v="29"/>
    <x v="0"/>
    <n v="180"/>
    <n v="4"/>
    <x v="0"/>
    <n v="2"/>
    <n v="4"/>
  </r>
  <r>
    <n v="44"/>
    <n v="32"/>
    <x v="0"/>
    <n v="150"/>
    <n v="4"/>
    <x v="2"/>
    <n v="2"/>
    <n v="1"/>
  </r>
  <r>
    <n v="45"/>
    <n v="26"/>
    <x v="1"/>
    <n v="250"/>
    <n v="2"/>
    <x v="0"/>
    <n v="4"/>
    <n v="3"/>
  </r>
  <r>
    <n v="46"/>
    <n v="40"/>
    <x v="1"/>
    <n v="250"/>
    <n v="3"/>
    <x v="2"/>
    <n v="3"/>
    <n v="4"/>
  </r>
  <r>
    <n v="47"/>
    <n v="37"/>
    <x v="1"/>
    <n v="220"/>
    <n v="5"/>
    <x v="0"/>
    <n v="2"/>
    <n v="4"/>
  </r>
  <r>
    <n v="48"/>
    <n v="23"/>
    <x v="0"/>
    <n v="150"/>
    <n v="5"/>
    <x v="2"/>
    <n v="4"/>
    <n v="3"/>
  </r>
  <r>
    <n v="49"/>
    <n v="36"/>
    <x v="0"/>
    <n v="180"/>
    <n v="4"/>
    <x v="0"/>
    <n v="3"/>
    <n v="3"/>
  </r>
  <r>
    <n v="50"/>
    <n v="24"/>
    <x v="0"/>
    <n v="180"/>
    <n v="2"/>
    <x v="2"/>
    <n v="4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A889A-6D76-40A1-8E72-50BBAB5BE1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5" firstHeaderRow="1" firstDataRow="2" firstDataCol="1"/>
  <pivotFields count="8"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Age 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367AAF-EA98-4F72-9E30-1624409A8F44}" autoFormatId="16" applyNumberFormats="0" applyBorderFormats="0" applyFontFormats="0" applyPatternFormats="0" applyAlignmentFormats="0" applyWidthHeightFormats="0">
  <queryTableRefresh nextId="9">
    <queryTableFields count="8">
      <queryTableField id="1" name="Customer " tableColumnId="1"/>
      <queryTableField id="2" name="Age " tableColumnId="2"/>
      <queryTableField id="3" name="Sex" tableColumnId="3"/>
      <queryTableField id="4" name="Groceries" tableColumnId="4"/>
      <queryTableField id="5" name="Choco-bars" tableColumnId="5"/>
      <queryTableField id="6" name="Type " tableColumnId="6"/>
      <queryTableField id="7" name="Satisfied " tableColumnId="7"/>
      <queryTableField id="8" name="Bul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CC880-78CC-4D5E-B739-F24D57382A2D}" name="Table1_1" displayName="Table1_1" ref="A1:H51" tableType="queryTable" totalsRowShown="0">
  <autoFilter ref="A1:H51" xr:uid="{37ACC880-78CC-4D5E-B739-F24D57382A2D}"/>
  <tableColumns count="8">
    <tableColumn id="1" xr3:uid="{FAD7AC82-0E5D-4F32-8D37-BAF4B7B57704}" uniqueName="1" name="Customer " queryTableFieldId="1"/>
    <tableColumn id="2" xr3:uid="{8BC70DB4-0AC4-40F3-B442-943EC864D504}" uniqueName="2" name="Age " queryTableFieldId="2"/>
    <tableColumn id="3" xr3:uid="{A5CFB586-9CCE-4DE3-AE9E-5F444FBF519D}" uniqueName="3" name="Sex" queryTableFieldId="3" dataDxfId="1"/>
    <tableColumn id="4" xr3:uid="{EE1D2D68-770C-4092-A367-882B26F5C68C}" uniqueName="4" name="Groceries" queryTableFieldId="4"/>
    <tableColumn id="5" xr3:uid="{B7187B70-A1F9-4660-915A-DC469EBCC4F8}" uniqueName="5" name="Choco-bars" queryTableFieldId="5"/>
    <tableColumn id="6" xr3:uid="{0059CF36-6CC9-4C8B-B1E5-6A3B5CBF2270}" uniqueName="6" name="Type " queryTableFieldId="6" dataDxfId="0"/>
    <tableColumn id="7" xr3:uid="{904680B4-5F99-4AFD-BDCA-8F97ED5A5A03}" uniqueName="7" name="Satisfied " queryTableFieldId="7"/>
    <tableColumn id="8" xr3:uid="{1634BBB1-E849-43FD-8E3F-D7E7F2C9BE58}" uniqueName="8" name="Bulk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ECC40-DDA2-4193-B95D-9A56CB12C921}" name="Table1" displayName="Table1" ref="A1:H51" totalsRowShown="0" headerRowDxfId="2" headerRowBorderDxfId="3">
  <autoFilter ref="A1:H51" xr:uid="{A37ECC40-DDA2-4193-B95D-9A56CB12C921}"/>
  <tableColumns count="8">
    <tableColumn id="1" xr3:uid="{A0163D1B-A7A5-44E6-867D-A10287524508}" name="Customer "/>
    <tableColumn id="2" xr3:uid="{64B3166C-1AF1-4312-A4C1-2319E4ED9F33}" name="Age "/>
    <tableColumn id="3" xr3:uid="{6CF97698-5F53-4884-ACAF-7011D9B73007}" name="Sex"/>
    <tableColumn id="4" xr3:uid="{E476CF31-B2D0-4803-A27B-755B72EA656A}" name="Groceries"/>
    <tableColumn id="5" xr3:uid="{B82C5377-0A51-4742-88CC-D15CD9039981}" name="Choco-bars"/>
    <tableColumn id="6" xr3:uid="{710A66B1-8CCD-4C73-98E4-6FF9BD84147E}" name="Type "/>
    <tableColumn id="7" xr3:uid="{73AF0C05-C306-4AB2-A9F8-64324308D00F}" name="Satisfied "/>
    <tableColumn id="8" xr3:uid="{EDFC4F93-2F57-4CF7-B7BC-46EA8BBFB119}" name="Bul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D24D-40BA-4014-9FFD-0C8D9D4EF032}">
  <dimension ref="A1:H51"/>
  <sheetViews>
    <sheetView tabSelected="1" workbookViewId="0">
      <selection activeCell="M10" sqref="M10"/>
    </sheetView>
  </sheetViews>
  <sheetFormatPr defaultRowHeight="14.4" x14ac:dyDescent="0.3"/>
  <cols>
    <col min="1" max="1" width="11.77734375" bestFit="1" customWidth="1"/>
    <col min="2" max="3" width="6.88671875" bestFit="1" customWidth="1"/>
    <col min="4" max="4" width="11" bestFit="1" customWidth="1"/>
    <col min="5" max="5" width="12.77734375" bestFit="1" customWidth="1"/>
    <col min="6" max="6" width="7.77734375" bestFit="1" customWidth="1"/>
    <col min="7" max="7" width="10.77734375" bestFit="1" customWidth="1"/>
    <col min="8" max="8" width="6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36</v>
      </c>
      <c r="C2" s="8" t="s">
        <v>8</v>
      </c>
      <c r="D2">
        <v>180</v>
      </c>
      <c r="E2">
        <v>3</v>
      </c>
      <c r="F2" s="8" t="s">
        <v>10</v>
      </c>
      <c r="G2">
        <v>4</v>
      </c>
      <c r="H2">
        <v>3</v>
      </c>
    </row>
    <row r="3" spans="1:8" x14ac:dyDescent="0.3">
      <c r="A3">
        <v>2</v>
      </c>
      <c r="B3">
        <v>45</v>
      </c>
      <c r="C3" s="8" t="s">
        <v>8</v>
      </c>
      <c r="D3">
        <v>180</v>
      </c>
      <c r="E3">
        <v>4</v>
      </c>
      <c r="F3" s="8" t="s">
        <v>12</v>
      </c>
      <c r="G3">
        <v>3</v>
      </c>
      <c r="H3">
        <v>2</v>
      </c>
    </row>
    <row r="4" spans="1:8" x14ac:dyDescent="0.3">
      <c r="A4">
        <v>3</v>
      </c>
      <c r="B4">
        <v>20</v>
      </c>
      <c r="C4" s="8" t="s">
        <v>9</v>
      </c>
      <c r="D4">
        <v>220</v>
      </c>
      <c r="E4">
        <v>3</v>
      </c>
      <c r="F4" s="8" t="s">
        <v>10</v>
      </c>
      <c r="G4">
        <v>2</v>
      </c>
      <c r="H4">
        <v>3</v>
      </c>
    </row>
    <row r="5" spans="1:8" x14ac:dyDescent="0.3">
      <c r="A5">
        <v>4</v>
      </c>
      <c r="B5">
        <v>27</v>
      </c>
      <c r="C5" s="8" t="s">
        <v>9</v>
      </c>
      <c r="D5">
        <v>180</v>
      </c>
      <c r="E5">
        <v>2</v>
      </c>
      <c r="F5" s="8" t="s">
        <v>10</v>
      </c>
      <c r="G5">
        <v>4</v>
      </c>
      <c r="H5">
        <v>2</v>
      </c>
    </row>
    <row r="6" spans="1:8" x14ac:dyDescent="0.3">
      <c r="A6">
        <v>5</v>
      </c>
      <c r="B6">
        <v>22</v>
      </c>
      <c r="C6" s="8" t="s">
        <v>9</v>
      </c>
      <c r="D6">
        <v>220</v>
      </c>
      <c r="E6">
        <v>5</v>
      </c>
      <c r="F6" s="8" t="s">
        <v>12</v>
      </c>
      <c r="G6">
        <v>3</v>
      </c>
      <c r="H6">
        <v>2</v>
      </c>
    </row>
    <row r="7" spans="1:8" x14ac:dyDescent="0.3">
      <c r="A7">
        <v>6</v>
      </c>
      <c r="B7">
        <v>39</v>
      </c>
      <c r="C7" s="8" t="s">
        <v>8</v>
      </c>
      <c r="D7">
        <v>150</v>
      </c>
      <c r="E7">
        <v>2</v>
      </c>
      <c r="F7" s="8" t="s">
        <v>11</v>
      </c>
      <c r="G7">
        <v>4</v>
      </c>
      <c r="H7">
        <v>2</v>
      </c>
    </row>
    <row r="8" spans="1:8" x14ac:dyDescent="0.3">
      <c r="A8">
        <v>7</v>
      </c>
      <c r="B8">
        <v>30</v>
      </c>
      <c r="C8" s="8" t="s">
        <v>8</v>
      </c>
      <c r="D8">
        <v>220</v>
      </c>
      <c r="E8">
        <v>5</v>
      </c>
      <c r="F8" s="8" t="s">
        <v>11</v>
      </c>
      <c r="G8">
        <v>2</v>
      </c>
      <c r="H8">
        <v>4</v>
      </c>
    </row>
    <row r="9" spans="1:8" x14ac:dyDescent="0.3">
      <c r="A9">
        <v>8</v>
      </c>
      <c r="B9">
        <v>42</v>
      </c>
      <c r="C9" s="8" t="s">
        <v>8</v>
      </c>
      <c r="D9">
        <v>220</v>
      </c>
      <c r="E9">
        <v>2</v>
      </c>
      <c r="F9" s="8" t="s">
        <v>12</v>
      </c>
      <c r="G9">
        <v>4</v>
      </c>
      <c r="H9">
        <v>1</v>
      </c>
    </row>
    <row r="10" spans="1:8" x14ac:dyDescent="0.3">
      <c r="A10">
        <v>9</v>
      </c>
      <c r="B10">
        <v>20</v>
      </c>
      <c r="C10" s="8" t="s">
        <v>9</v>
      </c>
      <c r="D10">
        <v>250</v>
      </c>
      <c r="E10">
        <v>3</v>
      </c>
      <c r="F10" s="8" t="s">
        <v>10</v>
      </c>
      <c r="G10">
        <v>4</v>
      </c>
      <c r="H10">
        <v>4</v>
      </c>
    </row>
    <row r="11" spans="1:8" x14ac:dyDescent="0.3">
      <c r="A11">
        <v>10</v>
      </c>
      <c r="B11">
        <v>40</v>
      </c>
      <c r="C11" s="8" t="s">
        <v>9</v>
      </c>
      <c r="D11">
        <v>180</v>
      </c>
      <c r="E11">
        <v>2</v>
      </c>
      <c r="F11" s="8" t="s">
        <v>12</v>
      </c>
      <c r="G11">
        <v>3</v>
      </c>
      <c r="H11">
        <v>1</v>
      </c>
    </row>
    <row r="12" spans="1:8" x14ac:dyDescent="0.3">
      <c r="A12">
        <v>11</v>
      </c>
      <c r="B12">
        <v>38</v>
      </c>
      <c r="C12" s="8" t="s">
        <v>9</v>
      </c>
      <c r="D12">
        <v>180</v>
      </c>
      <c r="E12">
        <v>2</v>
      </c>
      <c r="F12" s="8" t="s">
        <v>10</v>
      </c>
      <c r="G12">
        <v>2</v>
      </c>
      <c r="H12">
        <v>3</v>
      </c>
    </row>
    <row r="13" spans="1:8" x14ac:dyDescent="0.3">
      <c r="A13">
        <v>12</v>
      </c>
      <c r="B13">
        <v>31</v>
      </c>
      <c r="C13" s="8" t="s">
        <v>8</v>
      </c>
      <c r="D13">
        <v>150</v>
      </c>
      <c r="E13">
        <v>4</v>
      </c>
      <c r="F13" s="8" t="s">
        <v>11</v>
      </c>
      <c r="G13">
        <v>2</v>
      </c>
      <c r="H13">
        <v>1</v>
      </c>
    </row>
    <row r="14" spans="1:8" x14ac:dyDescent="0.3">
      <c r="A14">
        <v>13</v>
      </c>
      <c r="B14">
        <v>19</v>
      </c>
      <c r="C14" s="8" t="s">
        <v>8</v>
      </c>
      <c r="D14">
        <v>220</v>
      </c>
      <c r="E14">
        <v>2</v>
      </c>
      <c r="F14" s="8" t="s">
        <v>11</v>
      </c>
      <c r="G14">
        <v>2</v>
      </c>
      <c r="H14">
        <v>3</v>
      </c>
    </row>
    <row r="15" spans="1:8" x14ac:dyDescent="0.3">
      <c r="A15">
        <v>14</v>
      </c>
      <c r="B15">
        <v>23</v>
      </c>
      <c r="C15" s="8" t="s">
        <v>8</v>
      </c>
      <c r="D15">
        <v>180</v>
      </c>
      <c r="E15">
        <v>5</v>
      </c>
      <c r="F15" s="8" t="s">
        <v>11</v>
      </c>
      <c r="G15">
        <v>1</v>
      </c>
      <c r="H15">
        <v>4</v>
      </c>
    </row>
    <row r="16" spans="1:8" x14ac:dyDescent="0.3">
      <c r="A16">
        <v>15</v>
      </c>
      <c r="B16">
        <v>36</v>
      </c>
      <c r="C16" s="8" t="s">
        <v>9</v>
      </c>
      <c r="D16">
        <v>200</v>
      </c>
      <c r="E16">
        <v>2</v>
      </c>
      <c r="F16" s="8" t="s">
        <v>10</v>
      </c>
      <c r="G16">
        <v>4</v>
      </c>
      <c r="H16">
        <v>1</v>
      </c>
    </row>
    <row r="17" spans="1:8" x14ac:dyDescent="0.3">
      <c r="A17">
        <v>16</v>
      </c>
      <c r="B17">
        <v>24</v>
      </c>
      <c r="C17" s="8" t="s">
        <v>9</v>
      </c>
      <c r="D17">
        <v>150</v>
      </c>
      <c r="E17">
        <v>3</v>
      </c>
      <c r="F17" s="8" t="s">
        <v>10</v>
      </c>
      <c r="G17">
        <v>3</v>
      </c>
      <c r="H17">
        <v>4</v>
      </c>
    </row>
    <row r="18" spans="1:8" x14ac:dyDescent="0.3">
      <c r="A18">
        <v>17</v>
      </c>
      <c r="B18">
        <v>28</v>
      </c>
      <c r="C18" s="8" t="s">
        <v>9</v>
      </c>
      <c r="D18">
        <v>220</v>
      </c>
      <c r="E18">
        <v>4</v>
      </c>
      <c r="F18" s="8" t="s">
        <v>12</v>
      </c>
      <c r="G18">
        <v>1</v>
      </c>
      <c r="H18">
        <v>3</v>
      </c>
    </row>
    <row r="19" spans="1:8" x14ac:dyDescent="0.3">
      <c r="A19">
        <v>18</v>
      </c>
      <c r="B19">
        <v>25</v>
      </c>
      <c r="C19" s="8" t="s">
        <v>8</v>
      </c>
      <c r="D19">
        <v>220</v>
      </c>
      <c r="E19">
        <v>3</v>
      </c>
      <c r="F19" s="8" t="s">
        <v>11</v>
      </c>
      <c r="G19">
        <v>3</v>
      </c>
      <c r="H19">
        <v>3</v>
      </c>
    </row>
    <row r="20" spans="1:8" x14ac:dyDescent="0.3">
      <c r="A20">
        <v>19</v>
      </c>
      <c r="B20">
        <v>34</v>
      </c>
      <c r="C20" s="8" t="s">
        <v>8</v>
      </c>
      <c r="D20">
        <v>220</v>
      </c>
      <c r="E20">
        <v>4</v>
      </c>
      <c r="F20" s="8" t="s">
        <v>11</v>
      </c>
      <c r="G20">
        <v>4</v>
      </c>
      <c r="H20">
        <v>1</v>
      </c>
    </row>
    <row r="21" spans="1:8" x14ac:dyDescent="0.3">
      <c r="A21">
        <v>20</v>
      </c>
      <c r="B21">
        <v>39</v>
      </c>
      <c r="C21" s="8" t="s">
        <v>8</v>
      </c>
      <c r="D21">
        <v>200</v>
      </c>
      <c r="E21">
        <v>4</v>
      </c>
      <c r="F21" s="8" t="s">
        <v>11</v>
      </c>
      <c r="G21">
        <v>4</v>
      </c>
      <c r="H21">
        <v>2</v>
      </c>
    </row>
    <row r="22" spans="1:8" x14ac:dyDescent="0.3">
      <c r="A22">
        <v>21</v>
      </c>
      <c r="B22">
        <v>20</v>
      </c>
      <c r="C22" s="8" t="s">
        <v>9</v>
      </c>
      <c r="D22">
        <v>220</v>
      </c>
      <c r="E22">
        <v>5</v>
      </c>
      <c r="F22" s="8" t="s">
        <v>11</v>
      </c>
      <c r="G22">
        <v>4</v>
      </c>
      <c r="H22">
        <v>1</v>
      </c>
    </row>
    <row r="23" spans="1:8" x14ac:dyDescent="0.3">
      <c r="A23">
        <v>22</v>
      </c>
      <c r="B23">
        <v>44</v>
      </c>
      <c r="C23" s="8" t="s">
        <v>9</v>
      </c>
      <c r="D23">
        <v>200</v>
      </c>
      <c r="E23">
        <v>3</v>
      </c>
      <c r="F23" s="8" t="s">
        <v>12</v>
      </c>
      <c r="G23">
        <v>4</v>
      </c>
      <c r="H23">
        <v>4</v>
      </c>
    </row>
    <row r="24" spans="1:8" x14ac:dyDescent="0.3">
      <c r="A24">
        <v>23</v>
      </c>
      <c r="B24">
        <v>20</v>
      </c>
      <c r="C24" s="8" t="s">
        <v>9</v>
      </c>
      <c r="D24">
        <v>220</v>
      </c>
      <c r="E24">
        <v>3</v>
      </c>
      <c r="F24" s="8" t="s">
        <v>11</v>
      </c>
      <c r="G24">
        <v>2</v>
      </c>
      <c r="H24">
        <v>4</v>
      </c>
    </row>
    <row r="25" spans="1:8" x14ac:dyDescent="0.3">
      <c r="A25">
        <v>24</v>
      </c>
      <c r="B25">
        <v>31</v>
      </c>
      <c r="C25" s="8" t="s">
        <v>8</v>
      </c>
      <c r="D25">
        <v>250</v>
      </c>
      <c r="E25">
        <v>4</v>
      </c>
      <c r="F25" s="8" t="s">
        <v>11</v>
      </c>
      <c r="G25">
        <v>4</v>
      </c>
      <c r="H25">
        <v>4</v>
      </c>
    </row>
    <row r="26" spans="1:8" x14ac:dyDescent="0.3">
      <c r="A26">
        <v>25</v>
      </c>
      <c r="B26">
        <v>32</v>
      </c>
      <c r="C26" s="8" t="s">
        <v>8</v>
      </c>
      <c r="D26">
        <v>250</v>
      </c>
      <c r="E26">
        <v>3</v>
      </c>
      <c r="F26" s="8" t="s">
        <v>12</v>
      </c>
      <c r="G26">
        <v>1</v>
      </c>
      <c r="H26">
        <v>3</v>
      </c>
    </row>
    <row r="27" spans="1:8" x14ac:dyDescent="0.3">
      <c r="A27">
        <v>26</v>
      </c>
      <c r="B27">
        <v>29</v>
      </c>
      <c r="C27" s="8" t="s">
        <v>8</v>
      </c>
      <c r="D27">
        <v>180</v>
      </c>
      <c r="E27">
        <v>3</v>
      </c>
      <c r="F27" s="8" t="s">
        <v>11</v>
      </c>
      <c r="G27">
        <v>1</v>
      </c>
      <c r="H27">
        <v>4</v>
      </c>
    </row>
    <row r="28" spans="1:8" x14ac:dyDescent="0.3">
      <c r="A28">
        <v>27</v>
      </c>
      <c r="B28">
        <v>22</v>
      </c>
      <c r="C28" s="8" t="s">
        <v>9</v>
      </c>
      <c r="D28">
        <v>150</v>
      </c>
      <c r="E28">
        <v>4</v>
      </c>
      <c r="F28" s="8" t="s">
        <v>11</v>
      </c>
      <c r="G28">
        <v>3</v>
      </c>
      <c r="H28">
        <v>3</v>
      </c>
    </row>
    <row r="29" spans="1:8" x14ac:dyDescent="0.3">
      <c r="A29">
        <v>28</v>
      </c>
      <c r="B29">
        <v>19</v>
      </c>
      <c r="C29" s="8" t="s">
        <v>9</v>
      </c>
      <c r="D29">
        <v>200</v>
      </c>
      <c r="E29">
        <v>2</v>
      </c>
      <c r="F29" s="8" t="s">
        <v>11</v>
      </c>
      <c r="G29">
        <v>3</v>
      </c>
      <c r="H29">
        <v>2</v>
      </c>
    </row>
    <row r="30" spans="1:8" x14ac:dyDescent="0.3">
      <c r="A30">
        <v>29</v>
      </c>
      <c r="B30">
        <v>40</v>
      </c>
      <c r="C30" s="8" t="s">
        <v>9</v>
      </c>
      <c r="D30">
        <v>150</v>
      </c>
      <c r="E30">
        <v>4</v>
      </c>
      <c r="F30" s="8" t="s">
        <v>11</v>
      </c>
      <c r="G30">
        <v>2</v>
      </c>
      <c r="H30">
        <v>1</v>
      </c>
    </row>
    <row r="31" spans="1:8" x14ac:dyDescent="0.3">
      <c r="A31">
        <v>30</v>
      </c>
      <c r="B31">
        <v>29</v>
      </c>
      <c r="C31" s="8" t="s">
        <v>8</v>
      </c>
      <c r="D31">
        <v>250</v>
      </c>
      <c r="E31">
        <v>3</v>
      </c>
      <c r="F31" s="8" t="s">
        <v>10</v>
      </c>
      <c r="G31">
        <v>4</v>
      </c>
      <c r="H31">
        <v>4</v>
      </c>
    </row>
    <row r="32" spans="1:8" x14ac:dyDescent="0.3">
      <c r="A32">
        <v>31</v>
      </c>
      <c r="B32">
        <v>40</v>
      </c>
      <c r="C32" s="8" t="s">
        <v>8</v>
      </c>
      <c r="D32">
        <v>220</v>
      </c>
      <c r="E32">
        <v>5</v>
      </c>
      <c r="F32" s="8" t="s">
        <v>10</v>
      </c>
      <c r="G32">
        <v>1</v>
      </c>
      <c r="H32">
        <v>1</v>
      </c>
    </row>
    <row r="33" spans="1:8" x14ac:dyDescent="0.3">
      <c r="A33">
        <v>32</v>
      </c>
      <c r="B33">
        <v>36</v>
      </c>
      <c r="C33" s="8" t="s">
        <v>8</v>
      </c>
      <c r="D33">
        <v>180</v>
      </c>
      <c r="E33">
        <v>5</v>
      </c>
      <c r="F33" s="8" t="s">
        <v>12</v>
      </c>
      <c r="G33">
        <v>2</v>
      </c>
      <c r="H33">
        <v>3</v>
      </c>
    </row>
    <row r="34" spans="1:8" x14ac:dyDescent="0.3">
      <c r="A34">
        <v>33</v>
      </c>
      <c r="B34">
        <v>22</v>
      </c>
      <c r="C34" s="8" t="s">
        <v>9</v>
      </c>
      <c r="D34">
        <v>150</v>
      </c>
      <c r="E34">
        <v>5</v>
      </c>
      <c r="F34" s="8" t="s">
        <v>11</v>
      </c>
      <c r="G34">
        <v>2</v>
      </c>
      <c r="H34">
        <v>2</v>
      </c>
    </row>
    <row r="35" spans="1:8" x14ac:dyDescent="0.3">
      <c r="A35">
        <v>34</v>
      </c>
      <c r="B35">
        <v>32</v>
      </c>
      <c r="C35" s="8" t="s">
        <v>9</v>
      </c>
      <c r="D35">
        <v>200</v>
      </c>
      <c r="E35">
        <v>5</v>
      </c>
      <c r="F35" s="8" t="s">
        <v>12</v>
      </c>
      <c r="G35">
        <v>1</v>
      </c>
      <c r="H35">
        <v>1</v>
      </c>
    </row>
    <row r="36" spans="1:8" x14ac:dyDescent="0.3">
      <c r="A36">
        <v>35</v>
      </c>
      <c r="B36">
        <v>18</v>
      </c>
      <c r="C36" s="8" t="s">
        <v>9</v>
      </c>
      <c r="D36">
        <v>150</v>
      </c>
      <c r="E36">
        <v>2</v>
      </c>
      <c r="F36" s="8" t="s">
        <v>11</v>
      </c>
      <c r="G36">
        <v>3</v>
      </c>
      <c r="H36">
        <v>1</v>
      </c>
    </row>
    <row r="37" spans="1:8" x14ac:dyDescent="0.3">
      <c r="A37">
        <v>36</v>
      </c>
      <c r="B37">
        <v>45</v>
      </c>
      <c r="C37" s="8" t="s">
        <v>8</v>
      </c>
      <c r="D37">
        <v>150</v>
      </c>
      <c r="E37">
        <v>2</v>
      </c>
      <c r="F37" s="8" t="s">
        <v>11</v>
      </c>
      <c r="G37">
        <v>1</v>
      </c>
      <c r="H37">
        <v>3</v>
      </c>
    </row>
    <row r="38" spans="1:8" x14ac:dyDescent="0.3">
      <c r="A38">
        <v>37</v>
      </c>
      <c r="B38">
        <v>23</v>
      </c>
      <c r="C38" s="8" t="s">
        <v>8</v>
      </c>
      <c r="D38">
        <v>220</v>
      </c>
      <c r="E38">
        <v>4</v>
      </c>
      <c r="F38" s="8" t="s">
        <v>11</v>
      </c>
      <c r="G38">
        <v>3</v>
      </c>
      <c r="H38">
        <v>2</v>
      </c>
    </row>
    <row r="39" spans="1:8" x14ac:dyDescent="0.3">
      <c r="A39">
        <v>38</v>
      </c>
      <c r="B39">
        <v>42</v>
      </c>
      <c r="C39" s="8" t="s">
        <v>8</v>
      </c>
      <c r="D39">
        <v>200</v>
      </c>
      <c r="E39">
        <v>2</v>
      </c>
      <c r="F39" s="8" t="s">
        <v>12</v>
      </c>
      <c r="G39">
        <v>3</v>
      </c>
      <c r="H39">
        <v>3</v>
      </c>
    </row>
    <row r="40" spans="1:8" x14ac:dyDescent="0.3">
      <c r="A40">
        <v>39</v>
      </c>
      <c r="B40">
        <v>20</v>
      </c>
      <c r="C40" s="8" t="s">
        <v>9</v>
      </c>
      <c r="D40">
        <v>150</v>
      </c>
      <c r="E40">
        <v>5</v>
      </c>
      <c r="F40" s="8" t="s">
        <v>11</v>
      </c>
      <c r="G40">
        <v>2</v>
      </c>
      <c r="H40">
        <v>4</v>
      </c>
    </row>
    <row r="41" spans="1:8" x14ac:dyDescent="0.3">
      <c r="A41">
        <v>40</v>
      </c>
      <c r="B41">
        <v>44</v>
      </c>
      <c r="C41" s="8" t="s">
        <v>9</v>
      </c>
      <c r="D41">
        <v>250</v>
      </c>
      <c r="E41">
        <v>3</v>
      </c>
      <c r="F41" s="8" t="s">
        <v>10</v>
      </c>
      <c r="G41">
        <v>3</v>
      </c>
      <c r="H41">
        <v>3</v>
      </c>
    </row>
    <row r="42" spans="1:8" x14ac:dyDescent="0.3">
      <c r="A42">
        <v>41</v>
      </c>
      <c r="B42">
        <v>23</v>
      </c>
      <c r="C42" s="8" t="s">
        <v>9</v>
      </c>
      <c r="D42">
        <v>220</v>
      </c>
      <c r="E42">
        <v>4</v>
      </c>
      <c r="F42" s="8" t="s">
        <v>11</v>
      </c>
      <c r="G42">
        <v>2</v>
      </c>
      <c r="H42">
        <v>1</v>
      </c>
    </row>
    <row r="43" spans="1:8" x14ac:dyDescent="0.3">
      <c r="A43">
        <v>42</v>
      </c>
      <c r="B43">
        <v>24</v>
      </c>
      <c r="C43" s="8" t="s">
        <v>8</v>
      </c>
      <c r="D43">
        <v>150</v>
      </c>
      <c r="E43">
        <v>2</v>
      </c>
      <c r="F43" s="8" t="s">
        <v>11</v>
      </c>
      <c r="G43">
        <v>2</v>
      </c>
      <c r="H43">
        <v>1</v>
      </c>
    </row>
    <row r="44" spans="1:8" x14ac:dyDescent="0.3">
      <c r="A44">
        <v>43</v>
      </c>
      <c r="B44">
        <v>29</v>
      </c>
      <c r="C44" s="8" t="s">
        <v>8</v>
      </c>
      <c r="D44">
        <v>180</v>
      </c>
      <c r="E44">
        <v>4</v>
      </c>
      <c r="F44" s="8" t="s">
        <v>10</v>
      </c>
      <c r="G44">
        <v>2</v>
      </c>
      <c r="H44">
        <v>4</v>
      </c>
    </row>
    <row r="45" spans="1:8" x14ac:dyDescent="0.3">
      <c r="A45">
        <v>44</v>
      </c>
      <c r="B45">
        <v>32</v>
      </c>
      <c r="C45" s="8" t="s">
        <v>8</v>
      </c>
      <c r="D45">
        <v>150</v>
      </c>
      <c r="E45">
        <v>4</v>
      </c>
      <c r="F45" s="8" t="s">
        <v>11</v>
      </c>
      <c r="G45">
        <v>2</v>
      </c>
      <c r="H45">
        <v>1</v>
      </c>
    </row>
    <row r="46" spans="1:8" x14ac:dyDescent="0.3">
      <c r="A46">
        <v>45</v>
      </c>
      <c r="B46">
        <v>26</v>
      </c>
      <c r="C46" s="8" t="s">
        <v>9</v>
      </c>
      <c r="D46">
        <v>250</v>
      </c>
      <c r="E46">
        <v>2</v>
      </c>
      <c r="F46" s="8" t="s">
        <v>10</v>
      </c>
      <c r="G46">
        <v>4</v>
      </c>
      <c r="H46">
        <v>3</v>
      </c>
    </row>
    <row r="47" spans="1:8" x14ac:dyDescent="0.3">
      <c r="A47">
        <v>46</v>
      </c>
      <c r="B47">
        <v>40</v>
      </c>
      <c r="C47" s="8" t="s">
        <v>9</v>
      </c>
      <c r="D47">
        <v>250</v>
      </c>
      <c r="E47">
        <v>3</v>
      </c>
      <c r="F47" s="8" t="s">
        <v>11</v>
      </c>
      <c r="G47">
        <v>3</v>
      </c>
      <c r="H47">
        <v>4</v>
      </c>
    </row>
    <row r="48" spans="1:8" x14ac:dyDescent="0.3">
      <c r="A48">
        <v>47</v>
      </c>
      <c r="B48">
        <v>37</v>
      </c>
      <c r="C48" s="8" t="s">
        <v>9</v>
      </c>
      <c r="D48">
        <v>220</v>
      </c>
      <c r="E48">
        <v>5</v>
      </c>
      <c r="F48" s="8" t="s">
        <v>10</v>
      </c>
      <c r="G48">
        <v>2</v>
      </c>
      <c r="H48">
        <v>4</v>
      </c>
    </row>
    <row r="49" spans="1:8" x14ac:dyDescent="0.3">
      <c r="A49">
        <v>48</v>
      </c>
      <c r="B49">
        <v>23</v>
      </c>
      <c r="C49" s="8" t="s">
        <v>8</v>
      </c>
      <c r="D49">
        <v>150</v>
      </c>
      <c r="E49">
        <v>5</v>
      </c>
      <c r="F49" s="8" t="s">
        <v>11</v>
      </c>
      <c r="G49">
        <v>4</v>
      </c>
      <c r="H49">
        <v>3</v>
      </c>
    </row>
    <row r="50" spans="1:8" x14ac:dyDescent="0.3">
      <c r="A50">
        <v>49</v>
      </c>
      <c r="B50">
        <v>36</v>
      </c>
      <c r="C50" s="8" t="s">
        <v>8</v>
      </c>
      <c r="D50">
        <v>180</v>
      </c>
      <c r="E50">
        <v>4</v>
      </c>
      <c r="F50" s="8" t="s">
        <v>10</v>
      </c>
      <c r="G50">
        <v>3</v>
      </c>
      <c r="H50">
        <v>3</v>
      </c>
    </row>
    <row r="51" spans="1:8" x14ac:dyDescent="0.3">
      <c r="A51">
        <v>50</v>
      </c>
      <c r="B51">
        <v>24</v>
      </c>
      <c r="C51" s="8" t="s">
        <v>8</v>
      </c>
      <c r="D51">
        <v>180</v>
      </c>
      <c r="E51">
        <v>2</v>
      </c>
      <c r="F51" s="8" t="s">
        <v>11</v>
      </c>
      <c r="G51">
        <v>4</v>
      </c>
      <c r="H5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D8" sqref="D8"/>
    </sheetView>
  </sheetViews>
  <sheetFormatPr defaultRowHeight="14.4" x14ac:dyDescent="0.3"/>
  <cols>
    <col min="1" max="1" width="11.44140625" customWidth="1"/>
    <col min="2" max="2" width="8.33203125" customWidth="1"/>
    <col min="4" max="4" width="10.6640625" customWidth="1"/>
    <col min="5" max="5" width="12.44140625" customWidth="1"/>
    <col min="7" max="7" width="10.44140625" customWidth="1"/>
    <col min="10" max="10" width="15.664062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Top="1" x14ac:dyDescent="0.3">
      <c r="A2">
        <v>1</v>
      </c>
      <c r="B2">
        <v>36</v>
      </c>
      <c r="C2" t="s">
        <v>8</v>
      </c>
      <c r="D2">
        <v>180</v>
      </c>
      <c r="E2">
        <v>3</v>
      </c>
      <c r="F2" t="s">
        <v>10</v>
      </c>
      <c r="G2">
        <v>4</v>
      </c>
      <c r="H2">
        <v>3</v>
      </c>
    </row>
    <row r="3" spans="1:8" x14ac:dyDescent="0.3">
      <c r="A3">
        <v>2</v>
      </c>
      <c r="B3">
        <v>45</v>
      </c>
      <c r="C3" t="s">
        <v>8</v>
      </c>
      <c r="D3">
        <v>180</v>
      </c>
      <c r="E3">
        <v>4</v>
      </c>
      <c r="F3" t="s">
        <v>12</v>
      </c>
      <c r="G3">
        <v>3</v>
      </c>
      <c r="H3">
        <v>2</v>
      </c>
    </row>
    <row r="4" spans="1:8" x14ac:dyDescent="0.3">
      <c r="A4">
        <v>3</v>
      </c>
      <c r="B4">
        <v>20</v>
      </c>
      <c r="C4" t="s">
        <v>9</v>
      </c>
      <c r="D4">
        <v>220</v>
      </c>
      <c r="E4">
        <v>3</v>
      </c>
      <c r="F4" t="s">
        <v>10</v>
      </c>
      <c r="G4">
        <v>2</v>
      </c>
      <c r="H4">
        <v>3</v>
      </c>
    </row>
    <row r="5" spans="1:8" x14ac:dyDescent="0.3">
      <c r="A5">
        <v>4</v>
      </c>
      <c r="B5">
        <v>27</v>
      </c>
      <c r="C5" t="s">
        <v>9</v>
      </c>
      <c r="D5">
        <v>180</v>
      </c>
      <c r="E5">
        <v>2</v>
      </c>
      <c r="F5" t="s">
        <v>10</v>
      </c>
      <c r="G5">
        <v>4</v>
      </c>
      <c r="H5">
        <v>2</v>
      </c>
    </row>
    <row r="6" spans="1:8" x14ac:dyDescent="0.3">
      <c r="A6">
        <v>5</v>
      </c>
      <c r="B6">
        <v>22</v>
      </c>
      <c r="C6" t="s">
        <v>9</v>
      </c>
      <c r="D6">
        <v>220</v>
      </c>
      <c r="E6">
        <v>5</v>
      </c>
      <c r="F6" t="s">
        <v>12</v>
      </c>
      <c r="G6">
        <v>3</v>
      </c>
      <c r="H6">
        <v>2</v>
      </c>
    </row>
    <row r="7" spans="1:8" x14ac:dyDescent="0.3">
      <c r="A7">
        <v>6</v>
      </c>
      <c r="B7">
        <v>39</v>
      </c>
      <c r="C7" t="s">
        <v>8</v>
      </c>
      <c r="D7">
        <v>150</v>
      </c>
      <c r="E7">
        <v>2</v>
      </c>
      <c r="F7" t="s">
        <v>11</v>
      </c>
      <c r="G7">
        <v>4</v>
      </c>
      <c r="H7">
        <v>2</v>
      </c>
    </row>
    <row r="8" spans="1:8" x14ac:dyDescent="0.3">
      <c r="A8">
        <v>7</v>
      </c>
      <c r="B8">
        <v>30</v>
      </c>
      <c r="C8" t="s">
        <v>8</v>
      </c>
      <c r="D8">
        <v>220</v>
      </c>
      <c r="E8">
        <v>5</v>
      </c>
      <c r="F8" t="s">
        <v>11</v>
      </c>
      <c r="G8">
        <v>2</v>
      </c>
      <c r="H8">
        <v>4</v>
      </c>
    </row>
    <row r="9" spans="1:8" x14ac:dyDescent="0.3">
      <c r="A9">
        <v>8</v>
      </c>
      <c r="B9">
        <v>42</v>
      </c>
      <c r="C9" t="s">
        <v>8</v>
      </c>
      <c r="D9">
        <v>220</v>
      </c>
      <c r="E9">
        <v>2</v>
      </c>
      <c r="F9" t="s">
        <v>12</v>
      </c>
      <c r="G9">
        <v>4</v>
      </c>
      <c r="H9">
        <v>1</v>
      </c>
    </row>
    <row r="10" spans="1:8" x14ac:dyDescent="0.3">
      <c r="A10">
        <v>9</v>
      </c>
      <c r="B10">
        <v>20</v>
      </c>
      <c r="C10" t="s">
        <v>9</v>
      </c>
      <c r="D10">
        <v>250</v>
      </c>
      <c r="E10">
        <v>3</v>
      </c>
      <c r="F10" t="s">
        <v>10</v>
      </c>
      <c r="G10">
        <v>4</v>
      </c>
      <c r="H10">
        <v>4</v>
      </c>
    </row>
    <row r="11" spans="1:8" x14ac:dyDescent="0.3">
      <c r="A11">
        <v>10</v>
      </c>
      <c r="B11">
        <v>40</v>
      </c>
      <c r="C11" t="s">
        <v>9</v>
      </c>
      <c r="D11">
        <v>180</v>
      </c>
      <c r="E11">
        <v>2</v>
      </c>
      <c r="F11" t="s">
        <v>12</v>
      </c>
      <c r="G11">
        <v>3</v>
      </c>
      <c r="H11">
        <v>1</v>
      </c>
    </row>
    <row r="12" spans="1:8" x14ac:dyDescent="0.3">
      <c r="A12">
        <v>11</v>
      </c>
      <c r="B12">
        <v>38</v>
      </c>
      <c r="C12" t="s">
        <v>9</v>
      </c>
      <c r="D12">
        <v>180</v>
      </c>
      <c r="E12">
        <v>2</v>
      </c>
      <c r="F12" t="s">
        <v>10</v>
      </c>
      <c r="G12">
        <v>2</v>
      </c>
      <c r="H12">
        <v>3</v>
      </c>
    </row>
    <row r="13" spans="1:8" x14ac:dyDescent="0.3">
      <c r="A13">
        <v>12</v>
      </c>
      <c r="B13">
        <v>31</v>
      </c>
      <c r="C13" t="s">
        <v>8</v>
      </c>
      <c r="D13">
        <v>150</v>
      </c>
      <c r="E13">
        <v>4</v>
      </c>
      <c r="F13" t="s">
        <v>11</v>
      </c>
      <c r="G13">
        <v>2</v>
      </c>
      <c r="H13">
        <v>1</v>
      </c>
    </row>
    <row r="14" spans="1:8" x14ac:dyDescent="0.3">
      <c r="A14">
        <v>13</v>
      </c>
      <c r="B14">
        <v>19</v>
      </c>
      <c r="C14" t="s">
        <v>8</v>
      </c>
      <c r="D14">
        <v>220</v>
      </c>
      <c r="E14">
        <v>2</v>
      </c>
      <c r="F14" t="s">
        <v>11</v>
      </c>
      <c r="G14">
        <v>2</v>
      </c>
      <c r="H14">
        <v>3</v>
      </c>
    </row>
    <row r="15" spans="1:8" x14ac:dyDescent="0.3">
      <c r="A15">
        <v>14</v>
      </c>
      <c r="B15">
        <v>23</v>
      </c>
      <c r="C15" t="s">
        <v>8</v>
      </c>
      <c r="D15">
        <v>180</v>
      </c>
      <c r="E15">
        <v>5</v>
      </c>
      <c r="F15" t="s">
        <v>11</v>
      </c>
      <c r="G15">
        <v>1</v>
      </c>
      <c r="H15">
        <v>4</v>
      </c>
    </row>
    <row r="16" spans="1:8" x14ac:dyDescent="0.3">
      <c r="A16">
        <v>15</v>
      </c>
      <c r="B16">
        <v>36</v>
      </c>
      <c r="C16" t="s">
        <v>9</v>
      </c>
      <c r="D16">
        <v>200</v>
      </c>
      <c r="E16">
        <v>2</v>
      </c>
      <c r="F16" t="s">
        <v>10</v>
      </c>
      <c r="G16">
        <v>4</v>
      </c>
      <c r="H16">
        <v>1</v>
      </c>
    </row>
    <row r="17" spans="1:8" x14ac:dyDescent="0.3">
      <c r="A17">
        <v>16</v>
      </c>
      <c r="B17">
        <v>24</v>
      </c>
      <c r="C17" t="s">
        <v>9</v>
      </c>
      <c r="D17">
        <v>150</v>
      </c>
      <c r="E17">
        <v>3</v>
      </c>
      <c r="F17" t="s">
        <v>10</v>
      </c>
      <c r="G17">
        <v>3</v>
      </c>
      <c r="H17">
        <v>4</v>
      </c>
    </row>
    <row r="18" spans="1:8" x14ac:dyDescent="0.3">
      <c r="A18">
        <v>17</v>
      </c>
      <c r="B18">
        <v>28</v>
      </c>
      <c r="C18" t="s">
        <v>9</v>
      </c>
      <c r="D18">
        <v>220</v>
      </c>
      <c r="E18">
        <v>4</v>
      </c>
      <c r="F18" t="s">
        <v>12</v>
      </c>
      <c r="G18">
        <v>1</v>
      </c>
      <c r="H18">
        <v>3</v>
      </c>
    </row>
    <row r="19" spans="1:8" x14ac:dyDescent="0.3">
      <c r="A19">
        <v>18</v>
      </c>
      <c r="B19">
        <v>25</v>
      </c>
      <c r="C19" t="s">
        <v>8</v>
      </c>
      <c r="D19">
        <v>220</v>
      </c>
      <c r="E19">
        <v>3</v>
      </c>
      <c r="F19" t="s">
        <v>11</v>
      </c>
      <c r="G19">
        <v>3</v>
      </c>
      <c r="H19">
        <v>3</v>
      </c>
    </row>
    <row r="20" spans="1:8" x14ac:dyDescent="0.3">
      <c r="A20">
        <v>19</v>
      </c>
      <c r="B20">
        <v>34</v>
      </c>
      <c r="C20" t="s">
        <v>8</v>
      </c>
      <c r="D20">
        <v>220</v>
      </c>
      <c r="E20">
        <v>4</v>
      </c>
      <c r="F20" t="s">
        <v>11</v>
      </c>
      <c r="G20">
        <v>4</v>
      </c>
      <c r="H20">
        <v>1</v>
      </c>
    </row>
    <row r="21" spans="1:8" x14ac:dyDescent="0.3">
      <c r="A21">
        <v>20</v>
      </c>
      <c r="B21">
        <v>39</v>
      </c>
      <c r="C21" t="s">
        <v>8</v>
      </c>
      <c r="D21">
        <v>200</v>
      </c>
      <c r="E21">
        <v>4</v>
      </c>
      <c r="F21" t="s">
        <v>11</v>
      </c>
      <c r="G21">
        <v>4</v>
      </c>
      <c r="H21">
        <v>2</v>
      </c>
    </row>
    <row r="22" spans="1:8" x14ac:dyDescent="0.3">
      <c r="A22">
        <v>21</v>
      </c>
      <c r="B22">
        <v>20</v>
      </c>
      <c r="C22" t="s">
        <v>9</v>
      </c>
      <c r="D22">
        <v>220</v>
      </c>
      <c r="E22">
        <v>5</v>
      </c>
      <c r="F22" t="s">
        <v>11</v>
      </c>
      <c r="G22">
        <v>4</v>
      </c>
      <c r="H22">
        <v>1</v>
      </c>
    </row>
    <row r="23" spans="1:8" x14ac:dyDescent="0.3">
      <c r="A23">
        <v>22</v>
      </c>
      <c r="B23">
        <v>44</v>
      </c>
      <c r="C23" t="s">
        <v>9</v>
      </c>
      <c r="D23">
        <v>200</v>
      </c>
      <c r="E23">
        <v>3</v>
      </c>
      <c r="F23" t="s">
        <v>12</v>
      </c>
      <c r="G23">
        <v>4</v>
      </c>
      <c r="H23">
        <v>4</v>
      </c>
    </row>
    <row r="24" spans="1:8" x14ac:dyDescent="0.3">
      <c r="A24">
        <v>23</v>
      </c>
      <c r="B24">
        <v>20</v>
      </c>
      <c r="C24" t="s">
        <v>9</v>
      </c>
      <c r="D24">
        <v>220</v>
      </c>
      <c r="E24">
        <v>3</v>
      </c>
      <c r="F24" t="s">
        <v>11</v>
      </c>
      <c r="G24">
        <v>2</v>
      </c>
      <c r="H24">
        <v>4</v>
      </c>
    </row>
    <row r="25" spans="1:8" x14ac:dyDescent="0.3">
      <c r="A25">
        <v>24</v>
      </c>
      <c r="B25">
        <v>31</v>
      </c>
      <c r="C25" t="s">
        <v>8</v>
      </c>
      <c r="D25">
        <v>250</v>
      </c>
      <c r="E25">
        <v>4</v>
      </c>
      <c r="F25" t="s">
        <v>11</v>
      </c>
      <c r="G25">
        <v>4</v>
      </c>
      <c r="H25">
        <v>4</v>
      </c>
    </row>
    <row r="26" spans="1:8" x14ac:dyDescent="0.3">
      <c r="A26">
        <v>25</v>
      </c>
      <c r="B26">
        <v>32</v>
      </c>
      <c r="C26" t="s">
        <v>8</v>
      </c>
      <c r="D26">
        <v>250</v>
      </c>
      <c r="E26">
        <v>3</v>
      </c>
      <c r="F26" t="s">
        <v>12</v>
      </c>
      <c r="G26">
        <v>1</v>
      </c>
      <c r="H26">
        <v>3</v>
      </c>
    </row>
    <row r="27" spans="1:8" x14ac:dyDescent="0.3">
      <c r="A27">
        <v>26</v>
      </c>
      <c r="B27">
        <v>29</v>
      </c>
      <c r="C27" t="s">
        <v>8</v>
      </c>
      <c r="D27">
        <v>180</v>
      </c>
      <c r="E27">
        <v>3</v>
      </c>
      <c r="F27" t="s">
        <v>11</v>
      </c>
      <c r="G27">
        <v>1</v>
      </c>
      <c r="H27">
        <v>4</v>
      </c>
    </row>
    <row r="28" spans="1:8" x14ac:dyDescent="0.3">
      <c r="A28">
        <v>27</v>
      </c>
      <c r="B28">
        <v>22</v>
      </c>
      <c r="C28" t="s">
        <v>9</v>
      </c>
      <c r="D28">
        <v>150</v>
      </c>
      <c r="E28">
        <v>4</v>
      </c>
      <c r="F28" t="s">
        <v>11</v>
      </c>
      <c r="G28">
        <v>3</v>
      </c>
      <c r="H28">
        <v>3</v>
      </c>
    </row>
    <row r="29" spans="1:8" x14ac:dyDescent="0.3">
      <c r="A29">
        <v>28</v>
      </c>
      <c r="B29">
        <v>19</v>
      </c>
      <c r="C29" t="s">
        <v>9</v>
      </c>
      <c r="D29">
        <v>200</v>
      </c>
      <c r="E29">
        <v>2</v>
      </c>
      <c r="F29" t="s">
        <v>11</v>
      </c>
      <c r="G29">
        <v>3</v>
      </c>
      <c r="H29">
        <v>2</v>
      </c>
    </row>
    <row r="30" spans="1:8" x14ac:dyDescent="0.3">
      <c r="A30">
        <v>29</v>
      </c>
      <c r="B30">
        <v>40</v>
      </c>
      <c r="C30" t="s">
        <v>9</v>
      </c>
      <c r="D30">
        <v>150</v>
      </c>
      <c r="E30">
        <v>4</v>
      </c>
      <c r="F30" t="s">
        <v>11</v>
      </c>
      <c r="G30">
        <v>2</v>
      </c>
      <c r="H30">
        <v>1</v>
      </c>
    </row>
    <row r="31" spans="1:8" x14ac:dyDescent="0.3">
      <c r="A31">
        <v>30</v>
      </c>
      <c r="B31">
        <v>29</v>
      </c>
      <c r="C31" t="s">
        <v>8</v>
      </c>
      <c r="D31">
        <v>250</v>
      </c>
      <c r="E31">
        <v>3</v>
      </c>
      <c r="F31" t="s">
        <v>10</v>
      </c>
      <c r="G31">
        <v>4</v>
      </c>
      <c r="H31">
        <v>4</v>
      </c>
    </row>
    <row r="32" spans="1:8" x14ac:dyDescent="0.3">
      <c r="A32">
        <v>31</v>
      </c>
      <c r="B32">
        <v>40</v>
      </c>
      <c r="C32" t="s">
        <v>8</v>
      </c>
      <c r="D32">
        <v>220</v>
      </c>
      <c r="E32">
        <v>5</v>
      </c>
      <c r="F32" t="s">
        <v>10</v>
      </c>
      <c r="G32">
        <v>1</v>
      </c>
      <c r="H32">
        <v>1</v>
      </c>
    </row>
    <row r="33" spans="1:8" x14ac:dyDescent="0.3">
      <c r="A33">
        <v>32</v>
      </c>
      <c r="B33">
        <v>36</v>
      </c>
      <c r="C33" t="s">
        <v>8</v>
      </c>
      <c r="D33">
        <v>180</v>
      </c>
      <c r="E33">
        <v>5</v>
      </c>
      <c r="F33" t="s">
        <v>12</v>
      </c>
      <c r="G33">
        <v>2</v>
      </c>
      <c r="H33">
        <v>3</v>
      </c>
    </row>
    <row r="34" spans="1:8" x14ac:dyDescent="0.3">
      <c r="A34">
        <v>33</v>
      </c>
      <c r="B34">
        <v>22</v>
      </c>
      <c r="C34" t="s">
        <v>9</v>
      </c>
      <c r="D34">
        <v>150</v>
      </c>
      <c r="E34">
        <v>5</v>
      </c>
      <c r="F34" t="s">
        <v>11</v>
      </c>
      <c r="G34">
        <v>2</v>
      </c>
      <c r="H34">
        <v>2</v>
      </c>
    </row>
    <row r="35" spans="1:8" x14ac:dyDescent="0.3">
      <c r="A35">
        <v>34</v>
      </c>
      <c r="B35">
        <v>32</v>
      </c>
      <c r="C35" t="s">
        <v>9</v>
      </c>
      <c r="D35">
        <v>200</v>
      </c>
      <c r="E35">
        <v>5</v>
      </c>
      <c r="F35" t="s">
        <v>12</v>
      </c>
      <c r="G35">
        <v>1</v>
      </c>
      <c r="H35">
        <v>1</v>
      </c>
    </row>
    <row r="36" spans="1:8" x14ac:dyDescent="0.3">
      <c r="A36">
        <v>35</v>
      </c>
      <c r="B36">
        <v>18</v>
      </c>
      <c r="C36" t="s">
        <v>9</v>
      </c>
      <c r="D36">
        <v>150</v>
      </c>
      <c r="E36">
        <v>2</v>
      </c>
      <c r="F36" t="s">
        <v>11</v>
      </c>
      <c r="G36">
        <v>3</v>
      </c>
      <c r="H36">
        <v>1</v>
      </c>
    </row>
    <row r="37" spans="1:8" x14ac:dyDescent="0.3">
      <c r="A37">
        <v>36</v>
      </c>
      <c r="B37">
        <v>45</v>
      </c>
      <c r="C37" t="s">
        <v>8</v>
      </c>
      <c r="D37">
        <v>150</v>
      </c>
      <c r="E37">
        <v>2</v>
      </c>
      <c r="F37" t="s">
        <v>11</v>
      </c>
      <c r="G37">
        <v>1</v>
      </c>
      <c r="H37">
        <v>3</v>
      </c>
    </row>
    <row r="38" spans="1:8" x14ac:dyDescent="0.3">
      <c r="A38">
        <v>37</v>
      </c>
      <c r="B38">
        <v>23</v>
      </c>
      <c r="C38" t="s">
        <v>8</v>
      </c>
      <c r="D38">
        <v>220</v>
      </c>
      <c r="E38">
        <v>4</v>
      </c>
      <c r="F38" t="s">
        <v>11</v>
      </c>
      <c r="G38">
        <v>3</v>
      </c>
      <c r="H38">
        <v>2</v>
      </c>
    </row>
    <row r="39" spans="1:8" x14ac:dyDescent="0.3">
      <c r="A39">
        <v>38</v>
      </c>
      <c r="B39">
        <v>42</v>
      </c>
      <c r="C39" t="s">
        <v>8</v>
      </c>
      <c r="D39">
        <v>200</v>
      </c>
      <c r="E39">
        <v>2</v>
      </c>
      <c r="F39" t="s">
        <v>12</v>
      </c>
      <c r="G39">
        <v>3</v>
      </c>
      <c r="H39">
        <v>3</v>
      </c>
    </row>
    <row r="40" spans="1:8" x14ac:dyDescent="0.3">
      <c r="A40">
        <v>39</v>
      </c>
      <c r="B40">
        <v>20</v>
      </c>
      <c r="C40" t="s">
        <v>9</v>
      </c>
      <c r="D40">
        <v>150</v>
      </c>
      <c r="E40">
        <v>5</v>
      </c>
      <c r="F40" t="s">
        <v>11</v>
      </c>
      <c r="G40">
        <v>2</v>
      </c>
      <c r="H40">
        <v>4</v>
      </c>
    </row>
    <row r="41" spans="1:8" x14ac:dyDescent="0.3">
      <c r="A41">
        <v>40</v>
      </c>
      <c r="B41">
        <v>44</v>
      </c>
      <c r="C41" t="s">
        <v>9</v>
      </c>
      <c r="D41">
        <v>250</v>
      </c>
      <c r="E41">
        <v>3</v>
      </c>
      <c r="F41" t="s">
        <v>10</v>
      </c>
      <c r="G41">
        <v>3</v>
      </c>
      <c r="H41">
        <v>3</v>
      </c>
    </row>
    <row r="42" spans="1:8" x14ac:dyDescent="0.3">
      <c r="A42">
        <v>41</v>
      </c>
      <c r="B42">
        <v>23</v>
      </c>
      <c r="C42" t="s">
        <v>9</v>
      </c>
      <c r="D42">
        <v>220</v>
      </c>
      <c r="E42">
        <v>4</v>
      </c>
      <c r="F42" t="s">
        <v>11</v>
      </c>
      <c r="G42">
        <v>2</v>
      </c>
      <c r="H42">
        <v>1</v>
      </c>
    </row>
    <row r="43" spans="1:8" x14ac:dyDescent="0.3">
      <c r="A43">
        <v>42</v>
      </c>
      <c r="B43">
        <v>24</v>
      </c>
      <c r="C43" t="s">
        <v>8</v>
      </c>
      <c r="D43">
        <v>150</v>
      </c>
      <c r="E43">
        <v>2</v>
      </c>
      <c r="F43" t="s">
        <v>11</v>
      </c>
      <c r="G43">
        <v>2</v>
      </c>
      <c r="H43">
        <v>1</v>
      </c>
    </row>
    <row r="44" spans="1:8" x14ac:dyDescent="0.3">
      <c r="A44">
        <v>43</v>
      </c>
      <c r="B44">
        <v>29</v>
      </c>
      <c r="C44" t="s">
        <v>8</v>
      </c>
      <c r="D44">
        <v>180</v>
      </c>
      <c r="E44">
        <v>4</v>
      </c>
      <c r="F44" t="s">
        <v>10</v>
      </c>
      <c r="G44">
        <v>2</v>
      </c>
      <c r="H44">
        <v>4</v>
      </c>
    </row>
    <row r="45" spans="1:8" x14ac:dyDescent="0.3">
      <c r="A45">
        <v>44</v>
      </c>
      <c r="B45">
        <v>32</v>
      </c>
      <c r="C45" t="s">
        <v>8</v>
      </c>
      <c r="D45">
        <v>150</v>
      </c>
      <c r="E45">
        <v>4</v>
      </c>
      <c r="F45" t="s">
        <v>11</v>
      </c>
      <c r="G45">
        <v>2</v>
      </c>
      <c r="H45">
        <v>1</v>
      </c>
    </row>
    <row r="46" spans="1:8" x14ac:dyDescent="0.3">
      <c r="A46">
        <v>45</v>
      </c>
      <c r="B46">
        <v>26</v>
      </c>
      <c r="C46" t="s">
        <v>9</v>
      </c>
      <c r="D46">
        <v>250</v>
      </c>
      <c r="E46">
        <v>2</v>
      </c>
      <c r="F46" t="s">
        <v>10</v>
      </c>
      <c r="G46">
        <v>4</v>
      </c>
      <c r="H46">
        <v>3</v>
      </c>
    </row>
    <row r="47" spans="1:8" x14ac:dyDescent="0.3">
      <c r="A47">
        <v>46</v>
      </c>
      <c r="B47">
        <v>40</v>
      </c>
      <c r="C47" t="s">
        <v>9</v>
      </c>
      <c r="D47">
        <v>250</v>
      </c>
      <c r="E47">
        <v>3</v>
      </c>
      <c r="F47" t="s">
        <v>11</v>
      </c>
      <c r="G47">
        <v>3</v>
      </c>
      <c r="H47">
        <v>4</v>
      </c>
    </row>
    <row r="48" spans="1:8" x14ac:dyDescent="0.3">
      <c r="A48">
        <v>47</v>
      </c>
      <c r="B48">
        <v>37</v>
      </c>
      <c r="C48" t="s">
        <v>9</v>
      </c>
      <c r="D48">
        <v>220</v>
      </c>
      <c r="E48">
        <v>5</v>
      </c>
      <c r="F48" t="s">
        <v>10</v>
      </c>
      <c r="G48">
        <v>2</v>
      </c>
      <c r="H48">
        <v>4</v>
      </c>
    </row>
    <row r="49" spans="1:8" x14ac:dyDescent="0.3">
      <c r="A49">
        <v>48</v>
      </c>
      <c r="B49">
        <v>23</v>
      </c>
      <c r="C49" t="s">
        <v>8</v>
      </c>
      <c r="D49">
        <v>150</v>
      </c>
      <c r="E49">
        <v>5</v>
      </c>
      <c r="F49" t="s">
        <v>11</v>
      </c>
      <c r="G49">
        <v>4</v>
      </c>
      <c r="H49">
        <v>3</v>
      </c>
    </row>
    <row r="50" spans="1:8" x14ac:dyDescent="0.3">
      <c r="A50">
        <v>49</v>
      </c>
      <c r="B50">
        <v>36</v>
      </c>
      <c r="C50" t="s">
        <v>8</v>
      </c>
      <c r="D50">
        <v>180</v>
      </c>
      <c r="E50">
        <v>4</v>
      </c>
      <c r="F50" t="s">
        <v>10</v>
      </c>
      <c r="G50">
        <v>3</v>
      </c>
      <c r="H50">
        <v>3</v>
      </c>
    </row>
    <row r="51" spans="1:8" x14ac:dyDescent="0.3">
      <c r="A51">
        <v>50</v>
      </c>
      <c r="B51">
        <v>24</v>
      </c>
      <c r="C51" t="s">
        <v>8</v>
      </c>
      <c r="D51">
        <v>180</v>
      </c>
      <c r="E51">
        <v>2</v>
      </c>
      <c r="F51" t="s">
        <v>11</v>
      </c>
      <c r="G51">
        <v>4</v>
      </c>
      <c r="H51">
        <v>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B1D8-5139-47D3-9FA1-6FEE205EE1BB}">
  <dimension ref="B2:T150"/>
  <sheetViews>
    <sheetView topLeftCell="I1" workbookViewId="0">
      <selection activeCell="L8" sqref="L8"/>
    </sheetView>
  </sheetViews>
  <sheetFormatPr defaultRowHeight="14.4" x14ac:dyDescent="0.3"/>
  <sheetData>
    <row r="2" spans="2:20" x14ac:dyDescent="0.3">
      <c r="B2" s="2" t="s">
        <v>13</v>
      </c>
      <c r="C2" t="s">
        <v>15</v>
      </c>
      <c r="D2" t="s">
        <v>16</v>
      </c>
    </row>
    <row r="3" spans="2:20" x14ac:dyDescent="0.3">
      <c r="B3" s="2" t="s">
        <v>14</v>
      </c>
    </row>
    <row r="4" spans="2:20" x14ac:dyDescent="0.3">
      <c r="O4" t="s">
        <v>25</v>
      </c>
      <c r="P4" t="s">
        <v>26</v>
      </c>
      <c r="S4" t="s">
        <v>25</v>
      </c>
      <c r="T4" t="s">
        <v>26</v>
      </c>
    </row>
    <row r="5" spans="2:20" x14ac:dyDescent="0.3">
      <c r="D5" s="2" t="s">
        <v>17</v>
      </c>
      <c r="E5" s="2" t="s">
        <v>18</v>
      </c>
      <c r="F5" s="2" t="s">
        <v>24</v>
      </c>
      <c r="O5">
        <v>0</v>
      </c>
      <c r="P5" t="s">
        <v>27</v>
      </c>
      <c r="S5">
        <v>75</v>
      </c>
      <c r="T5" t="str">
        <f>VLOOKUP(S5,$O$5:$P$9,2,1)</f>
        <v>C</v>
      </c>
    </row>
    <row r="6" spans="2:20" x14ac:dyDescent="0.3">
      <c r="D6" s="2">
        <v>1</v>
      </c>
      <c r="E6" s="2" t="s">
        <v>19</v>
      </c>
      <c r="F6" s="2">
        <v>23</v>
      </c>
      <c r="J6" s="2" t="s">
        <v>17</v>
      </c>
      <c r="K6" s="2" t="s">
        <v>24</v>
      </c>
      <c r="L6" s="2" t="s">
        <v>18</v>
      </c>
      <c r="M6" s="2" t="s">
        <v>44</v>
      </c>
      <c r="O6">
        <v>60</v>
      </c>
      <c r="P6" t="s">
        <v>28</v>
      </c>
      <c r="S6">
        <v>85</v>
      </c>
      <c r="T6" t="str">
        <f>VLOOKUP(S6,$O$5:$P$9,2,1)</f>
        <v>B</v>
      </c>
    </row>
    <row r="7" spans="2:20" x14ac:dyDescent="0.3">
      <c r="D7" s="2">
        <v>2</v>
      </c>
      <c r="E7" s="2" t="s">
        <v>20</v>
      </c>
      <c r="F7" s="2">
        <v>22</v>
      </c>
      <c r="J7" s="2">
        <v>89</v>
      </c>
      <c r="K7" s="2">
        <f>VLOOKUP(J7,$D$6:$F$150,3,FALSE)</f>
        <v>220.3</v>
      </c>
      <c r="L7" s="2" t="str">
        <f>VLOOKUP(J7,D6:E150,2,0)</f>
        <v>A</v>
      </c>
      <c r="M7" s="2">
        <f>_xlfn.XLOOKUP(J7,$D$6:$D$150,$F$6:$F$150,0,0)</f>
        <v>220.3</v>
      </c>
      <c r="O7">
        <v>70</v>
      </c>
      <c r="P7" t="s">
        <v>29</v>
      </c>
    </row>
    <row r="8" spans="2:20" x14ac:dyDescent="0.3">
      <c r="D8" s="2">
        <v>3</v>
      </c>
      <c r="E8" s="2" t="s">
        <v>21</v>
      </c>
      <c r="F8" s="2">
        <v>21</v>
      </c>
      <c r="J8" s="2">
        <v>105</v>
      </c>
      <c r="K8" s="2">
        <f>VLOOKUP(J8,$D$6:$F$150,3,FALSE)</f>
        <v>256.3</v>
      </c>
      <c r="L8" s="2" t="str">
        <f>VLOOKUP(J8,D7:E151,2,0)</f>
        <v>Sanjay</v>
      </c>
      <c r="M8" s="2">
        <f>_xlfn.XLOOKUP(J8,$D$6:$D$150,$F$6:$F$150,0,0)</f>
        <v>256.3</v>
      </c>
      <c r="O8">
        <v>80</v>
      </c>
      <c r="P8" t="s">
        <v>20</v>
      </c>
      <c r="R8" t="s">
        <v>36</v>
      </c>
      <c r="S8" t="s">
        <v>35</v>
      </c>
    </row>
    <row r="9" spans="2:20" x14ac:dyDescent="0.3">
      <c r="D9" s="2">
        <v>5</v>
      </c>
      <c r="E9" s="2" t="s">
        <v>22</v>
      </c>
      <c r="F9" s="2">
        <v>23</v>
      </c>
      <c r="K9" t="str">
        <f ca="1">_xlfn.FORMULATEXT(K7)</f>
        <v>=VLOOKUP(J7,$D$6:$F$150,3,FALSE)</v>
      </c>
      <c r="O9">
        <v>90</v>
      </c>
      <c r="P9" t="s">
        <v>19</v>
      </c>
    </row>
    <row r="10" spans="2:20" x14ac:dyDescent="0.3">
      <c r="D10" s="2">
        <v>7</v>
      </c>
      <c r="E10" s="2" t="s">
        <v>23</v>
      </c>
      <c r="F10" s="2">
        <v>45</v>
      </c>
      <c r="K10" t="str">
        <f ca="1">_xlfn.FORMULATEXT(L7)</f>
        <v>=VLOOKUP(J7,D6:E150,2,0)</v>
      </c>
    </row>
    <row r="11" spans="2:20" x14ac:dyDescent="0.3">
      <c r="D11" s="2">
        <v>9</v>
      </c>
      <c r="E11" s="2" t="s">
        <v>19</v>
      </c>
      <c r="F11" s="2">
        <v>40.299999999999997</v>
      </c>
    </row>
    <row r="12" spans="2:20" x14ac:dyDescent="0.3">
      <c r="D12" s="2">
        <v>11</v>
      </c>
      <c r="E12" s="2" t="s">
        <v>20</v>
      </c>
      <c r="F12" s="2">
        <v>44.8</v>
      </c>
      <c r="K12" cm="1">
        <f t="array" ref="K12">_xlfn.XLOOKUP(J7,D6:$D$150,$F$6:$F$150,"Not Found")</f>
        <v>220.3</v>
      </c>
    </row>
    <row r="13" spans="2:20" x14ac:dyDescent="0.3">
      <c r="D13" s="2">
        <v>13</v>
      </c>
      <c r="E13" s="2" t="s">
        <v>21</v>
      </c>
      <c r="F13" s="2">
        <v>49.3</v>
      </c>
    </row>
    <row r="14" spans="2:20" x14ac:dyDescent="0.3">
      <c r="D14" s="2">
        <v>15</v>
      </c>
      <c r="E14" s="2" t="s">
        <v>22</v>
      </c>
      <c r="F14" s="2">
        <v>53.8</v>
      </c>
    </row>
    <row r="15" spans="2:20" x14ac:dyDescent="0.3">
      <c r="D15" s="2">
        <v>17</v>
      </c>
      <c r="E15" s="2" t="s">
        <v>23</v>
      </c>
      <c r="F15" s="2">
        <v>58.3</v>
      </c>
    </row>
    <row r="16" spans="2:20" x14ac:dyDescent="0.3">
      <c r="D16" s="2">
        <v>19</v>
      </c>
      <c r="E16" s="2" t="s">
        <v>19</v>
      </c>
      <c r="F16" s="2">
        <v>62.8</v>
      </c>
    </row>
    <row r="17" spans="4:6" x14ac:dyDescent="0.3">
      <c r="D17" s="2">
        <v>21</v>
      </c>
      <c r="E17" s="2" t="s">
        <v>20</v>
      </c>
      <c r="F17" s="2">
        <v>67.3</v>
      </c>
    </row>
    <row r="18" spans="4:6" x14ac:dyDescent="0.3">
      <c r="D18" s="2">
        <v>23</v>
      </c>
      <c r="E18" s="2" t="s">
        <v>21</v>
      </c>
      <c r="F18" s="2">
        <v>71.8</v>
      </c>
    </row>
    <row r="19" spans="4:6" x14ac:dyDescent="0.3">
      <c r="D19" s="2">
        <v>25</v>
      </c>
      <c r="E19" s="2" t="s">
        <v>22</v>
      </c>
      <c r="F19" s="2">
        <v>76.3</v>
      </c>
    </row>
    <row r="20" spans="4:6" x14ac:dyDescent="0.3">
      <c r="D20" s="2">
        <v>27</v>
      </c>
      <c r="E20" s="2" t="s">
        <v>23</v>
      </c>
      <c r="F20" s="2">
        <v>80.8</v>
      </c>
    </row>
    <row r="21" spans="4:6" x14ac:dyDescent="0.3">
      <c r="D21" s="2">
        <v>29</v>
      </c>
      <c r="E21" s="2" t="s">
        <v>19</v>
      </c>
      <c r="F21" s="2">
        <v>85.3</v>
      </c>
    </row>
    <row r="22" spans="4:6" x14ac:dyDescent="0.3">
      <c r="D22" s="2">
        <v>31</v>
      </c>
      <c r="E22" s="2" t="s">
        <v>20</v>
      </c>
      <c r="F22" s="2">
        <v>89.8</v>
      </c>
    </row>
    <row r="23" spans="4:6" x14ac:dyDescent="0.3">
      <c r="D23" s="2">
        <v>33</v>
      </c>
      <c r="E23" s="2" t="s">
        <v>21</v>
      </c>
      <c r="F23" s="2">
        <v>94.3</v>
      </c>
    </row>
    <row r="24" spans="4:6" x14ac:dyDescent="0.3">
      <c r="D24" s="2">
        <v>35</v>
      </c>
      <c r="E24" s="2" t="s">
        <v>22</v>
      </c>
      <c r="F24" s="2">
        <v>98.8</v>
      </c>
    </row>
    <row r="25" spans="4:6" x14ac:dyDescent="0.3">
      <c r="D25" s="2">
        <v>37</v>
      </c>
      <c r="E25" s="2" t="s">
        <v>23</v>
      </c>
      <c r="F25" s="2">
        <v>103.3</v>
      </c>
    </row>
    <row r="26" spans="4:6" x14ac:dyDescent="0.3">
      <c r="D26" s="2">
        <v>39</v>
      </c>
      <c r="E26" s="2" t="s">
        <v>19</v>
      </c>
      <c r="F26" s="2">
        <v>107.8</v>
      </c>
    </row>
    <row r="27" spans="4:6" x14ac:dyDescent="0.3">
      <c r="D27" s="2">
        <v>41</v>
      </c>
      <c r="E27" s="2" t="s">
        <v>20</v>
      </c>
      <c r="F27" s="2">
        <v>112.3</v>
      </c>
    </row>
    <row r="28" spans="4:6" x14ac:dyDescent="0.3">
      <c r="D28" s="2">
        <v>43</v>
      </c>
      <c r="E28" s="2" t="s">
        <v>21</v>
      </c>
      <c r="F28" s="2">
        <v>116.8</v>
      </c>
    </row>
    <row r="29" spans="4:6" x14ac:dyDescent="0.3">
      <c r="D29" s="2">
        <v>45</v>
      </c>
      <c r="E29" s="2" t="s">
        <v>22</v>
      </c>
      <c r="F29" s="2">
        <v>121.3</v>
      </c>
    </row>
    <row r="30" spans="4:6" x14ac:dyDescent="0.3">
      <c r="D30" s="2">
        <v>47</v>
      </c>
      <c r="E30" s="2" t="s">
        <v>23</v>
      </c>
      <c r="F30" s="2">
        <v>125.8</v>
      </c>
    </row>
    <row r="31" spans="4:6" x14ac:dyDescent="0.3">
      <c r="D31" s="2">
        <v>49</v>
      </c>
      <c r="E31" s="2" t="s">
        <v>19</v>
      </c>
      <c r="F31" s="2">
        <v>130.30000000000001</v>
      </c>
    </row>
    <row r="32" spans="4:6" x14ac:dyDescent="0.3">
      <c r="D32" s="2">
        <v>51</v>
      </c>
      <c r="E32" s="2" t="s">
        <v>20</v>
      </c>
      <c r="F32" s="2">
        <v>134.80000000000001</v>
      </c>
    </row>
    <row r="33" spans="4:6" x14ac:dyDescent="0.3">
      <c r="D33" s="2">
        <v>53</v>
      </c>
      <c r="E33" s="2" t="s">
        <v>21</v>
      </c>
      <c r="F33" s="2">
        <v>139.30000000000001</v>
      </c>
    </row>
    <row r="34" spans="4:6" x14ac:dyDescent="0.3">
      <c r="D34" s="2">
        <v>55</v>
      </c>
      <c r="E34" s="2" t="s">
        <v>22</v>
      </c>
      <c r="F34" s="2">
        <v>143.80000000000001</v>
      </c>
    </row>
    <row r="35" spans="4:6" x14ac:dyDescent="0.3">
      <c r="D35" s="2">
        <v>57</v>
      </c>
      <c r="E35" s="2" t="s">
        <v>23</v>
      </c>
      <c r="F35" s="2">
        <v>148.30000000000001</v>
      </c>
    </row>
    <row r="36" spans="4:6" x14ac:dyDescent="0.3">
      <c r="D36" s="2">
        <v>59</v>
      </c>
      <c r="E36" s="2" t="s">
        <v>19</v>
      </c>
      <c r="F36" s="2">
        <v>152.80000000000001</v>
      </c>
    </row>
    <row r="37" spans="4:6" x14ac:dyDescent="0.3">
      <c r="D37" s="2">
        <v>61</v>
      </c>
      <c r="E37" s="2" t="s">
        <v>20</v>
      </c>
      <c r="F37" s="2">
        <v>157.30000000000001</v>
      </c>
    </row>
    <row r="38" spans="4:6" x14ac:dyDescent="0.3">
      <c r="D38" s="2">
        <v>63</v>
      </c>
      <c r="E38" s="2" t="s">
        <v>21</v>
      </c>
      <c r="F38" s="2">
        <v>161.80000000000001</v>
      </c>
    </row>
    <row r="39" spans="4:6" x14ac:dyDescent="0.3">
      <c r="D39" s="2">
        <v>65</v>
      </c>
      <c r="E39" s="2" t="s">
        <v>22</v>
      </c>
      <c r="F39" s="2">
        <v>166.3</v>
      </c>
    </row>
    <row r="40" spans="4:6" x14ac:dyDescent="0.3">
      <c r="D40" s="2">
        <v>67</v>
      </c>
      <c r="E40" s="2" t="s">
        <v>23</v>
      </c>
      <c r="F40" s="2">
        <v>170.8</v>
      </c>
    </row>
    <row r="41" spans="4:6" x14ac:dyDescent="0.3">
      <c r="D41" s="2">
        <v>69</v>
      </c>
      <c r="E41" s="2" t="s">
        <v>19</v>
      </c>
      <c r="F41" s="2">
        <v>175.3</v>
      </c>
    </row>
    <row r="42" spans="4:6" x14ac:dyDescent="0.3">
      <c r="D42" s="2">
        <v>71</v>
      </c>
      <c r="E42" s="2" t="s">
        <v>20</v>
      </c>
      <c r="F42" s="2">
        <v>179.8</v>
      </c>
    </row>
    <row r="43" spans="4:6" x14ac:dyDescent="0.3">
      <c r="D43" s="2">
        <v>73</v>
      </c>
      <c r="E43" s="2" t="s">
        <v>21</v>
      </c>
      <c r="F43" s="2">
        <v>184.3</v>
      </c>
    </row>
    <row r="44" spans="4:6" x14ac:dyDescent="0.3">
      <c r="D44" s="2">
        <v>75</v>
      </c>
      <c r="E44" s="2" t="s">
        <v>22</v>
      </c>
      <c r="F44" s="2">
        <v>188.8</v>
      </c>
    </row>
    <row r="45" spans="4:6" x14ac:dyDescent="0.3">
      <c r="D45" s="2">
        <v>77</v>
      </c>
      <c r="E45" s="2" t="s">
        <v>23</v>
      </c>
      <c r="F45" s="2">
        <v>193.3</v>
      </c>
    </row>
    <row r="46" spans="4:6" x14ac:dyDescent="0.3">
      <c r="D46" s="2">
        <v>79</v>
      </c>
      <c r="E46" s="2" t="s">
        <v>19</v>
      </c>
      <c r="F46" s="2">
        <v>197.8</v>
      </c>
    </row>
    <row r="47" spans="4:6" x14ac:dyDescent="0.3">
      <c r="D47" s="2">
        <v>81</v>
      </c>
      <c r="E47" s="2" t="s">
        <v>20</v>
      </c>
      <c r="F47" s="2">
        <v>202.3</v>
      </c>
    </row>
    <row r="48" spans="4:6" x14ac:dyDescent="0.3">
      <c r="D48" s="2">
        <v>83</v>
      </c>
      <c r="E48" s="2" t="s">
        <v>21</v>
      </c>
      <c r="F48" s="2">
        <v>206.8</v>
      </c>
    </row>
    <row r="49" spans="4:6" x14ac:dyDescent="0.3">
      <c r="D49" s="2">
        <v>85</v>
      </c>
      <c r="E49" s="2" t="s">
        <v>22</v>
      </c>
      <c r="F49" s="2">
        <v>211.3</v>
      </c>
    </row>
    <row r="50" spans="4:6" x14ac:dyDescent="0.3">
      <c r="D50" s="2">
        <v>87</v>
      </c>
      <c r="E50" s="2" t="s">
        <v>23</v>
      </c>
      <c r="F50" s="2">
        <v>215.8</v>
      </c>
    </row>
    <row r="51" spans="4:6" x14ac:dyDescent="0.3">
      <c r="D51" s="2">
        <v>89</v>
      </c>
      <c r="E51" s="2" t="s">
        <v>19</v>
      </c>
      <c r="F51" s="2">
        <v>220.3</v>
      </c>
    </row>
    <row r="52" spans="4:6" x14ac:dyDescent="0.3">
      <c r="D52" s="2">
        <v>91</v>
      </c>
      <c r="E52" s="2" t="s">
        <v>20</v>
      </c>
      <c r="F52" s="2">
        <v>224.8</v>
      </c>
    </row>
    <row r="53" spans="4:6" x14ac:dyDescent="0.3">
      <c r="D53" s="2">
        <v>93</v>
      </c>
      <c r="E53" s="2" t="s">
        <v>21</v>
      </c>
      <c r="F53" s="2">
        <v>229.3</v>
      </c>
    </row>
    <row r="54" spans="4:6" x14ac:dyDescent="0.3">
      <c r="D54" s="2">
        <v>95</v>
      </c>
      <c r="E54" s="2" t="s">
        <v>22</v>
      </c>
      <c r="F54" s="2">
        <v>233.8</v>
      </c>
    </row>
    <row r="55" spans="4:6" x14ac:dyDescent="0.3">
      <c r="D55" s="2">
        <v>97</v>
      </c>
      <c r="E55" s="2" t="s">
        <v>23</v>
      </c>
      <c r="F55" s="2">
        <v>238.3</v>
      </c>
    </row>
    <row r="56" spans="4:6" x14ac:dyDescent="0.3">
      <c r="D56" s="2">
        <v>99</v>
      </c>
      <c r="E56" s="2" t="s">
        <v>19</v>
      </c>
      <c r="F56" s="2">
        <v>242.8</v>
      </c>
    </row>
    <row r="57" spans="4:6" x14ac:dyDescent="0.3">
      <c r="D57" s="2">
        <v>101</v>
      </c>
      <c r="E57" s="2" t="s">
        <v>20</v>
      </c>
      <c r="F57" s="2">
        <v>247.3</v>
      </c>
    </row>
    <row r="58" spans="4:6" x14ac:dyDescent="0.3">
      <c r="D58" s="2">
        <v>103</v>
      </c>
      <c r="E58" s="2" t="s">
        <v>21</v>
      </c>
      <c r="F58" s="2">
        <v>251.8</v>
      </c>
    </row>
    <row r="59" spans="4:6" x14ac:dyDescent="0.3">
      <c r="D59" s="2">
        <v>105</v>
      </c>
      <c r="E59" s="2" t="s">
        <v>22</v>
      </c>
      <c r="F59" s="2">
        <v>256.3</v>
      </c>
    </row>
    <row r="60" spans="4:6" x14ac:dyDescent="0.3">
      <c r="D60" s="2">
        <v>107</v>
      </c>
      <c r="E60" s="2" t="s">
        <v>23</v>
      </c>
      <c r="F60" s="2">
        <v>260.8</v>
      </c>
    </row>
    <row r="61" spans="4:6" x14ac:dyDescent="0.3">
      <c r="D61" s="2">
        <v>109</v>
      </c>
      <c r="E61" s="2" t="s">
        <v>19</v>
      </c>
      <c r="F61" s="2">
        <v>265.3</v>
      </c>
    </row>
    <row r="62" spans="4:6" x14ac:dyDescent="0.3">
      <c r="D62" s="2">
        <v>111</v>
      </c>
      <c r="E62" s="2" t="s">
        <v>20</v>
      </c>
      <c r="F62" s="2">
        <v>269.8</v>
      </c>
    </row>
    <row r="63" spans="4:6" x14ac:dyDescent="0.3">
      <c r="D63" s="2">
        <v>113</v>
      </c>
      <c r="E63" s="2" t="s">
        <v>21</v>
      </c>
      <c r="F63" s="2">
        <v>274.3</v>
      </c>
    </row>
    <row r="64" spans="4:6" x14ac:dyDescent="0.3">
      <c r="D64" s="2">
        <v>115</v>
      </c>
      <c r="E64" s="2" t="s">
        <v>22</v>
      </c>
      <c r="F64" s="2">
        <v>278.8</v>
      </c>
    </row>
    <row r="65" spans="4:6" x14ac:dyDescent="0.3">
      <c r="D65" s="2">
        <v>117</v>
      </c>
      <c r="E65" s="2" t="s">
        <v>23</v>
      </c>
      <c r="F65" s="2">
        <v>283.3</v>
      </c>
    </row>
    <row r="66" spans="4:6" x14ac:dyDescent="0.3">
      <c r="D66" s="2">
        <v>119</v>
      </c>
      <c r="E66" s="2" t="s">
        <v>19</v>
      </c>
      <c r="F66" s="2">
        <v>287.8</v>
      </c>
    </row>
    <row r="67" spans="4:6" x14ac:dyDescent="0.3">
      <c r="D67" s="2">
        <v>121</v>
      </c>
      <c r="E67" s="2" t="s">
        <v>20</v>
      </c>
      <c r="F67" s="2">
        <v>292.3</v>
      </c>
    </row>
    <row r="68" spans="4:6" x14ac:dyDescent="0.3">
      <c r="D68" s="2">
        <v>123</v>
      </c>
      <c r="E68" s="2" t="s">
        <v>21</v>
      </c>
      <c r="F68" s="2">
        <v>296.8</v>
      </c>
    </row>
    <row r="69" spans="4:6" x14ac:dyDescent="0.3">
      <c r="D69" s="2">
        <v>125</v>
      </c>
      <c r="E69" s="2" t="s">
        <v>22</v>
      </c>
      <c r="F69" s="2">
        <v>301.3</v>
      </c>
    </row>
    <row r="70" spans="4:6" x14ac:dyDescent="0.3">
      <c r="D70" s="2">
        <v>127</v>
      </c>
      <c r="E70" s="2" t="s">
        <v>23</v>
      </c>
      <c r="F70" s="2">
        <v>305.8</v>
      </c>
    </row>
    <row r="71" spans="4:6" x14ac:dyDescent="0.3">
      <c r="D71" s="2">
        <v>129</v>
      </c>
      <c r="E71" s="2" t="s">
        <v>19</v>
      </c>
      <c r="F71" s="2">
        <v>310.3</v>
      </c>
    </row>
    <row r="72" spans="4:6" x14ac:dyDescent="0.3">
      <c r="D72" s="2">
        <v>131</v>
      </c>
      <c r="E72" s="2" t="s">
        <v>20</v>
      </c>
      <c r="F72" s="2">
        <v>314.8</v>
      </c>
    </row>
    <row r="73" spans="4:6" x14ac:dyDescent="0.3">
      <c r="D73" s="2">
        <v>133</v>
      </c>
      <c r="E73" s="2" t="s">
        <v>21</v>
      </c>
      <c r="F73" s="2">
        <v>319.3</v>
      </c>
    </row>
    <row r="74" spans="4:6" x14ac:dyDescent="0.3">
      <c r="D74" s="2">
        <v>135</v>
      </c>
      <c r="E74" s="2" t="s">
        <v>22</v>
      </c>
      <c r="F74" s="2">
        <v>323.8</v>
      </c>
    </row>
    <row r="75" spans="4:6" x14ac:dyDescent="0.3">
      <c r="D75" s="2">
        <v>137</v>
      </c>
      <c r="E75" s="2" t="s">
        <v>23</v>
      </c>
      <c r="F75" s="2">
        <v>328.3</v>
      </c>
    </row>
    <row r="76" spans="4:6" x14ac:dyDescent="0.3">
      <c r="D76" s="2">
        <v>139</v>
      </c>
      <c r="E76" s="2" t="s">
        <v>19</v>
      </c>
      <c r="F76" s="2">
        <v>332.8</v>
      </c>
    </row>
    <row r="77" spans="4:6" x14ac:dyDescent="0.3">
      <c r="D77" s="2">
        <v>141</v>
      </c>
      <c r="E77" s="2" t="s">
        <v>20</v>
      </c>
      <c r="F77" s="2">
        <v>337.3</v>
      </c>
    </row>
    <row r="78" spans="4:6" x14ac:dyDescent="0.3">
      <c r="D78" s="2">
        <v>143</v>
      </c>
      <c r="E78" s="2" t="s">
        <v>21</v>
      </c>
      <c r="F78" s="2">
        <v>341.8</v>
      </c>
    </row>
    <row r="79" spans="4:6" x14ac:dyDescent="0.3">
      <c r="D79" s="2">
        <v>145</v>
      </c>
      <c r="E79" s="2" t="s">
        <v>22</v>
      </c>
      <c r="F79" s="2">
        <v>346.3</v>
      </c>
    </row>
    <row r="80" spans="4:6" x14ac:dyDescent="0.3">
      <c r="D80" s="2">
        <v>147</v>
      </c>
      <c r="E80" s="2" t="s">
        <v>23</v>
      </c>
      <c r="F80" s="2">
        <v>350.8</v>
      </c>
    </row>
    <row r="81" spans="4:6" x14ac:dyDescent="0.3">
      <c r="D81" s="2">
        <v>149</v>
      </c>
      <c r="E81" s="2" t="s">
        <v>19</v>
      </c>
      <c r="F81" s="2">
        <v>355.3</v>
      </c>
    </row>
    <row r="82" spans="4:6" x14ac:dyDescent="0.3">
      <c r="D82" s="2">
        <v>151</v>
      </c>
      <c r="E82" s="2" t="s">
        <v>20</v>
      </c>
      <c r="F82" s="2">
        <v>359.8</v>
      </c>
    </row>
    <row r="83" spans="4:6" x14ac:dyDescent="0.3">
      <c r="D83" s="2">
        <v>153</v>
      </c>
      <c r="E83" s="2" t="s">
        <v>21</v>
      </c>
      <c r="F83" s="2">
        <v>364.3</v>
      </c>
    </row>
    <row r="84" spans="4:6" x14ac:dyDescent="0.3">
      <c r="D84" s="2">
        <v>155</v>
      </c>
      <c r="E84" s="2" t="s">
        <v>22</v>
      </c>
      <c r="F84" s="2">
        <v>368.8</v>
      </c>
    </row>
    <row r="85" spans="4:6" x14ac:dyDescent="0.3">
      <c r="D85" s="2">
        <v>157</v>
      </c>
      <c r="E85" s="2" t="s">
        <v>23</v>
      </c>
      <c r="F85" s="2">
        <v>373.3</v>
      </c>
    </row>
    <row r="86" spans="4:6" x14ac:dyDescent="0.3">
      <c r="D86" s="2">
        <v>159</v>
      </c>
      <c r="E86" s="2" t="s">
        <v>19</v>
      </c>
      <c r="F86" s="2">
        <v>377.8</v>
      </c>
    </row>
    <row r="87" spans="4:6" x14ac:dyDescent="0.3">
      <c r="D87" s="2">
        <v>161</v>
      </c>
      <c r="E87" s="2" t="s">
        <v>20</v>
      </c>
      <c r="F87" s="2">
        <v>382.3</v>
      </c>
    </row>
    <row r="88" spans="4:6" x14ac:dyDescent="0.3">
      <c r="D88" s="2">
        <v>163</v>
      </c>
      <c r="E88" s="2" t="s">
        <v>21</v>
      </c>
      <c r="F88" s="2">
        <v>386.8</v>
      </c>
    </row>
    <row r="89" spans="4:6" x14ac:dyDescent="0.3">
      <c r="D89" s="2">
        <v>165</v>
      </c>
      <c r="E89" s="2" t="s">
        <v>22</v>
      </c>
      <c r="F89" s="2">
        <v>391.3</v>
      </c>
    </row>
    <row r="90" spans="4:6" x14ac:dyDescent="0.3">
      <c r="D90" s="2">
        <v>167</v>
      </c>
      <c r="E90" s="2" t="s">
        <v>23</v>
      </c>
      <c r="F90" s="2">
        <v>395.8</v>
      </c>
    </row>
    <row r="91" spans="4:6" x14ac:dyDescent="0.3">
      <c r="D91" s="2">
        <v>169</v>
      </c>
      <c r="E91" s="2" t="s">
        <v>19</v>
      </c>
      <c r="F91" s="2">
        <v>400.3</v>
      </c>
    </row>
    <row r="92" spans="4:6" x14ac:dyDescent="0.3">
      <c r="D92" s="2">
        <v>171</v>
      </c>
      <c r="E92" s="2" t="s">
        <v>20</v>
      </c>
      <c r="F92" s="2">
        <v>404.8</v>
      </c>
    </row>
    <row r="93" spans="4:6" x14ac:dyDescent="0.3">
      <c r="D93" s="2">
        <v>173</v>
      </c>
      <c r="E93" s="2" t="s">
        <v>21</v>
      </c>
      <c r="F93" s="2">
        <v>409.3</v>
      </c>
    </row>
    <row r="94" spans="4:6" x14ac:dyDescent="0.3">
      <c r="D94" s="2">
        <v>175</v>
      </c>
      <c r="E94" s="2" t="s">
        <v>22</v>
      </c>
      <c r="F94" s="2">
        <v>413.8</v>
      </c>
    </row>
    <row r="95" spans="4:6" x14ac:dyDescent="0.3">
      <c r="D95" s="2">
        <v>177</v>
      </c>
      <c r="E95" s="2" t="s">
        <v>23</v>
      </c>
      <c r="F95" s="2">
        <v>418.3</v>
      </c>
    </row>
    <row r="96" spans="4:6" x14ac:dyDescent="0.3">
      <c r="D96" s="2">
        <v>179</v>
      </c>
      <c r="E96" s="2" t="s">
        <v>19</v>
      </c>
      <c r="F96" s="2">
        <v>422.8</v>
      </c>
    </row>
    <row r="97" spans="4:6" x14ac:dyDescent="0.3">
      <c r="D97" s="2">
        <v>181</v>
      </c>
      <c r="E97" s="2" t="s">
        <v>20</v>
      </c>
      <c r="F97" s="2">
        <v>427.3</v>
      </c>
    </row>
    <row r="98" spans="4:6" x14ac:dyDescent="0.3">
      <c r="D98" s="2">
        <v>183</v>
      </c>
      <c r="E98" s="2" t="s">
        <v>21</v>
      </c>
      <c r="F98" s="2">
        <v>431.8</v>
      </c>
    </row>
    <row r="99" spans="4:6" x14ac:dyDescent="0.3">
      <c r="D99" s="2">
        <v>185</v>
      </c>
      <c r="E99" s="2" t="s">
        <v>22</v>
      </c>
      <c r="F99" s="2">
        <v>436.3</v>
      </c>
    </row>
    <row r="100" spans="4:6" x14ac:dyDescent="0.3">
      <c r="D100" s="2">
        <v>187</v>
      </c>
      <c r="E100" s="2" t="s">
        <v>23</v>
      </c>
      <c r="F100" s="2">
        <v>440.8</v>
      </c>
    </row>
    <row r="101" spans="4:6" x14ac:dyDescent="0.3">
      <c r="D101" s="2">
        <v>189</v>
      </c>
      <c r="E101" s="2" t="s">
        <v>19</v>
      </c>
      <c r="F101" s="2">
        <v>445.3</v>
      </c>
    </row>
    <row r="102" spans="4:6" x14ac:dyDescent="0.3">
      <c r="D102" s="2">
        <v>191</v>
      </c>
      <c r="E102" s="2" t="s">
        <v>20</v>
      </c>
      <c r="F102" s="2">
        <v>449.8</v>
      </c>
    </row>
    <row r="103" spans="4:6" x14ac:dyDescent="0.3">
      <c r="D103" s="2">
        <v>193</v>
      </c>
      <c r="E103" s="2" t="s">
        <v>21</v>
      </c>
      <c r="F103" s="2">
        <v>454.3</v>
      </c>
    </row>
    <row r="104" spans="4:6" x14ac:dyDescent="0.3">
      <c r="D104" s="2">
        <v>195</v>
      </c>
      <c r="E104" s="2" t="s">
        <v>22</v>
      </c>
      <c r="F104" s="2">
        <v>458.8</v>
      </c>
    </row>
    <row r="105" spans="4:6" x14ac:dyDescent="0.3">
      <c r="D105" s="2">
        <v>197</v>
      </c>
      <c r="E105" s="2" t="s">
        <v>23</v>
      </c>
      <c r="F105" s="2">
        <v>463.3</v>
      </c>
    </row>
    <row r="106" spans="4:6" x14ac:dyDescent="0.3">
      <c r="D106" s="2">
        <v>199</v>
      </c>
      <c r="E106" s="2" t="s">
        <v>19</v>
      </c>
      <c r="F106" s="2">
        <v>467.8</v>
      </c>
    </row>
    <row r="107" spans="4:6" x14ac:dyDescent="0.3">
      <c r="D107" s="2">
        <v>201</v>
      </c>
      <c r="E107" s="2" t="s">
        <v>20</v>
      </c>
      <c r="F107" s="2">
        <v>472.3</v>
      </c>
    </row>
    <row r="108" spans="4:6" x14ac:dyDescent="0.3">
      <c r="D108" s="2">
        <v>203</v>
      </c>
      <c r="E108" s="2" t="s">
        <v>21</v>
      </c>
      <c r="F108" s="2">
        <v>476.8</v>
      </c>
    </row>
    <row r="109" spans="4:6" x14ac:dyDescent="0.3">
      <c r="D109" s="2">
        <v>205</v>
      </c>
      <c r="E109" s="2" t="s">
        <v>22</v>
      </c>
      <c r="F109" s="2">
        <v>481.3</v>
      </c>
    </row>
    <row r="110" spans="4:6" x14ac:dyDescent="0.3">
      <c r="D110" s="2">
        <v>207</v>
      </c>
      <c r="E110" s="2" t="s">
        <v>23</v>
      </c>
      <c r="F110" s="2">
        <v>485.8</v>
      </c>
    </row>
    <row r="111" spans="4:6" x14ac:dyDescent="0.3">
      <c r="D111" s="2">
        <v>209</v>
      </c>
      <c r="E111" s="2" t="s">
        <v>19</v>
      </c>
      <c r="F111" s="2">
        <v>490.3</v>
      </c>
    </row>
    <row r="112" spans="4:6" x14ac:dyDescent="0.3">
      <c r="D112" s="2">
        <v>211</v>
      </c>
      <c r="E112" s="2" t="s">
        <v>20</v>
      </c>
      <c r="F112" s="2">
        <v>494.8</v>
      </c>
    </row>
    <row r="113" spans="4:6" x14ac:dyDescent="0.3">
      <c r="D113" s="2">
        <v>213</v>
      </c>
      <c r="E113" s="2" t="s">
        <v>21</v>
      </c>
      <c r="F113" s="2">
        <v>499.3</v>
      </c>
    </row>
    <row r="114" spans="4:6" x14ac:dyDescent="0.3">
      <c r="D114" s="2">
        <v>215</v>
      </c>
      <c r="E114" s="2" t="s">
        <v>22</v>
      </c>
      <c r="F114" s="2">
        <v>503.8</v>
      </c>
    </row>
    <row r="115" spans="4:6" x14ac:dyDescent="0.3">
      <c r="D115" s="2">
        <v>217</v>
      </c>
      <c r="E115" s="2" t="s">
        <v>23</v>
      </c>
      <c r="F115" s="2">
        <v>508.3</v>
      </c>
    </row>
    <row r="116" spans="4:6" x14ac:dyDescent="0.3">
      <c r="D116" s="2">
        <v>219</v>
      </c>
      <c r="E116" s="2" t="s">
        <v>19</v>
      </c>
      <c r="F116" s="2">
        <v>512.79999999999995</v>
      </c>
    </row>
    <row r="117" spans="4:6" x14ac:dyDescent="0.3">
      <c r="D117" s="2">
        <v>221</v>
      </c>
      <c r="E117" s="2" t="s">
        <v>20</v>
      </c>
      <c r="F117" s="2">
        <v>517.29999999999995</v>
      </c>
    </row>
    <row r="118" spans="4:6" x14ac:dyDescent="0.3">
      <c r="D118" s="2">
        <v>223</v>
      </c>
      <c r="E118" s="2" t="s">
        <v>21</v>
      </c>
      <c r="F118" s="2">
        <v>521.79999999999995</v>
      </c>
    </row>
    <row r="119" spans="4:6" x14ac:dyDescent="0.3">
      <c r="D119" s="2">
        <v>225</v>
      </c>
      <c r="E119" s="2" t="s">
        <v>22</v>
      </c>
      <c r="F119" s="2">
        <v>526.29999999999995</v>
      </c>
    </row>
    <row r="120" spans="4:6" x14ac:dyDescent="0.3">
      <c r="D120" s="2">
        <v>227</v>
      </c>
      <c r="E120" s="2" t="s">
        <v>23</v>
      </c>
      <c r="F120" s="2">
        <v>530.79999999999995</v>
      </c>
    </row>
    <row r="121" spans="4:6" x14ac:dyDescent="0.3">
      <c r="D121" s="2">
        <v>229</v>
      </c>
      <c r="E121" s="2" t="s">
        <v>19</v>
      </c>
      <c r="F121" s="2">
        <v>535.29999999999995</v>
      </c>
    </row>
    <row r="122" spans="4:6" x14ac:dyDescent="0.3">
      <c r="D122" s="2">
        <v>231</v>
      </c>
      <c r="E122" s="2" t="s">
        <v>20</v>
      </c>
      <c r="F122" s="2">
        <v>539.79999999999995</v>
      </c>
    </row>
    <row r="123" spans="4:6" x14ac:dyDescent="0.3">
      <c r="D123" s="2">
        <v>233</v>
      </c>
      <c r="E123" s="2" t="s">
        <v>21</v>
      </c>
      <c r="F123" s="2">
        <v>544.29999999999995</v>
      </c>
    </row>
    <row r="124" spans="4:6" x14ac:dyDescent="0.3">
      <c r="D124" s="2">
        <v>235</v>
      </c>
      <c r="E124" s="2" t="s">
        <v>22</v>
      </c>
      <c r="F124" s="2">
        <v>548.79999999999995</v>
      </c>
    </row>
    <row r="125" spans="4:6" x14ac:dyDescent="0.3">
      <c r="D125" s="2">
        <v>237</v>
      </c>
      <c r="E125" s="2" t="s">
        <v>23</v>
      </c>
      <c r="F125" s="2">
        <v>553.29999999999995</v>
      </c>
    </row>
    <row r="126" spans="4:6" x14ac:dyDescent="0.3">
      <c r="D126" s="2">
        <v>239</v>
      </c>
      <c r="E126" s="2" t="s">
        <v>19</v>
      </c>
      <c r="F126" s="2">
        <v>557.79999999999995</v>
      </c>
    </row>
    <row r="127" spans="4:6" x14ac:dyDescent="0.3">
      <c r="D127" s="2">
        <v>241</v>
      </c>
      <c r="E127" s="2" t="s">
        <v>20</v>
      </c>
      <c r="F127" s="2">
        <v>562.29999999999995</v>
      </c>
    </row>
    <row r="128" spans="4:6" x14ac:dyDescent="0.3">
      <c r="D128" s="2">
        <v>243</v>
      </c>
      <c r="E128" s="2" t="s">
        <v>21</v>
      </c>
      <c r="F128" s="2">
        <v>566.79999999999995</v>
      </c>
    </row>
    <row r="129" spans="4:6" x14ac:dyDescent="0.3">
      <c r="D129" s="2">
        <v>245</v>
      </c>
      <c r="E129" s="2" t="s">
        <v>22</v>
      </c>
      <c r="F129" s="2">
        <v>571.29999999999995</v>
      </c>
    </row>
    <row r="130" spans="4:6" x14ac:dyDescent="0.3">
      <c r="D130" s="2">
        <v>247</v>
      </c>
      <c r="E130" s="2" t="s">
        <v>23</v>
      </c>
      <c r="F130" s="2">
        <v>575.79999999999995</v>
      </c>
    </row>
    <row r="131" spans="4:6" x14ac:dyDescent="0.3">
      <c r="D131" s="2">
        <v>249</v>
      </c>
      <c r="E131" s="2" t="s">
        <v>19</v>
      </c>
      <c r="F131" s="2">
        <v>580.29999999999995</v>
      </c>
    </row>
    <row r="132" spans="4:6" x14ac:dyDescent="0.3">
      <c r="D132" s="2">
        <v>251</v>
      </c>
      <c r="E132" s="2" t="s">
        <v>20</v>
      </c>
      <c r="F132" s="2">
        <v>584.79999999999995</v>
      </c>
    </row>
    <row r="133" spans="4:6" x14ac:dyDescent="0.3">
      <c r="D133" s="2">
        <v>253</v>
      </c>
      <c r="E133" s="2" t="s">
        <v>21</v>
      </c>
      <c r="F133" s="2">
        <v>589.29999999999995</v>
      </c>
    </row>
    <row r="134" spans="4:6" x14ac:dyDescent="0.3">
      <c r="D134" s="2">
        <v>255</v>
      </c>
      <c r="E134" s="2" t="s">
        <v>22</v>
      </c>
      <c r="F134" s="2">
        <v>593.79999999999995</v>
      </c>
    </row>
    <row r="135" spans="4:6" x14ac:dyDescent="0.3">
      <c r="D135" s="2">
        <v>257</v>
      </c>
      <c r="E135" s="2" t="s">
        <v>23</v>
      </c>
      <c r="F135" s="2">
        <v>598.29999999999995</v>
      </c>
    </row>
    <row r="136" spans="4:6" x14ac:dyDescent="0.3">
      <c r="D136" s="2">
        <v>259</v>
      </c>
      <c r="E136" s="2" t="s">
        <v>19</v>
      </c>
      <c r="F136" s="2">
        <v>602.79999999999995</v>
      </c>
    </row>
    <row r="137" spans="4:6" x14ac:dyDescent="0.3">
      <c r="D137" s="2">
        <v>261</v>
      </c>
      <c r="E137" s="2" t="s">
        <v>20</v>
      </c>
      <c r="F137" s="2">
        <v>607.29999999999995</v>
      </c>
    </row>
    <row r="138" spans="4:6" x14ac:dyDescent="0.3">
      <c r="D138" s="2">
        <v>263</v>
      </c>
      <c r="E138" s="2" t="s">
        <v>21</v>
      </c>
      <c r="F138" s="2">
        <v>611.79999999999995</v>
      </c>
    </row>
    <row r="139" spans="4:6" x14ac:dyDescent="0.3">
      <c r="D139" s="2">
        <v>265</v>
      </c>
      <c r="E139" s="2" t="s">
        <v>22</v>
      </c>
      <c r="F139" s="2">
        <v>616.29999999999995</v>
      </c>
    </row>
    <row r="140" spans="4:6" x14ac:dyDescent="0.3">
      <c r="D140" s="2">
        <v>267</v>
      </c>
      <c r="E140" s="2" t="s">
        <v>23</v>
      </c>
      <c r="F140" s="2">
        <v>620.79999999999995</v>
      </c>
    </row>
    <row r="141" spans="4:6" x14ac:dyDescent="0.3">
      <c r="D141" s="2">
        <v>269</v>
      </c>
      <c r="E141" s="2" t="s">
        <v>19</v>
      </c>
      <c r="F141" s="2">
        <v>625.29999999999995</v>
      </c>
    </row>
    <row r="142" spans="4:6" x14ac:dyDescent="0.3">
      <c r="D142" s="2">
        <v>271</v>
      </c>
      <c r="E142" s="2" t="s">
        <v>20</v>
      </c>
      <c r="F142" s="2">
        <v>629.79999999999995</v>
      </c>
    </row>
    <row r="143" spans="4:6" x14ac:dyDescent="0.3">
      <c r="D143" s="2">
        <v>273</v>
      </c>
      <c r="E143" s="2" t="s">
        <v>21</v>
      </c>
      <c r="F143" s="2">
        <v>634.29999999999995</v>
      </c>
    </row>
    <row r="144" spans="4:6" x14ac:dyDescent="0.3">
      <c r="D144" s="2">
        <v>275</v>
      </c>
      <c r="E144" s="2" t="s">
        <v>22</v>
      </c>
      <c r="F144" s="2">
        <v>638.79999999999995</v>
      </c>
    </row>
    <row r="145" spans="4:6" x14ac:dyDescent="0.3">
      <c r="D145" s="2">
        <v>277</v>
      </c>
      <c r="E145" s="2" t="s">
        <v>23</v>
      </c>
      <c r="F145" s="2">
        <v>643.29999999999995</v>
      </c>
    </row>
    <row r="146" spans="4:6" x14ac:dyDescent="0.3">
      <c r="D146" s="2">
        <v>279</v>
      </c>
      <c r="E146" s="2" t="s">
        <v>19</v>
      </c>
      <c r="F146" s="2">
        <v>647.79999999999995</v>
      </c>
    </row>
    <row r="147" spans="4:6" x14ac:dyDescent="0.3">
      <c r="D147" s="2">
        <v>281</v>
      </c>
      <c r="E147" s="2" t="s">
        <v>20</v>
      </c>
      <c r="F147" s="2">
        <v>652.29999999999995</v>
      </c>
    </row>
    <row r="148" spans="4:6" x14ac:dyDescent="0.3">
      <c r="D148" s="2">
        <v>283</v>
      </c>
      <c r="E148" s="2" t="s">
        <v>21</v>
      </c>
      <c r="F148" s="2">
        <v>656.8</v>
      </c>
    </row>
    <row r="149" spans="4:6" x14ac:dyDescent="0.3">
      <c r="D149" s="2">
        <v>285</v>
      </c>
      <c r="E149" s="2" t="s">
        <v>22</v>
      </c>
      <c r="F149" s="2">
        <v>661.3</v>
      </c>
    </row>
    <row r="150" spans="4:6" x14ac:dyDescent="0.3">
      <c r="D150" s="2">
        <v>287</v>
      </c>
      <c r="E150" s="2" t="s">
        <v>23</v>
      </c>
      <c r="F150" s="2">
        <v>665.8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1F4D-5D10-462B-A52D-ECA0119FC589}">
  <dimension ref="B1:J34"/>
  <sheetViews>
    <sheetView topLeftCell="A19" workbookViewId="0">
      <selection activeCell="F34" sqref="F34:H34"/>
    </sheetView>
  </sheetViews>
  <sheetFormatPr defaultRowHeight="14.4" x14ac:dyDescent="0.3"/>
  <sheetData>
    <row r="1" spans="2:9" x14ac:dyDescent="0.3">
      <c r="B1" t="s">
        <v>17</v>
      </c>
      <c r="C1" t="s">
        <v>18</v>
      </c>
      <c r="D1" t="s">
        <v>30</v>
      </c>
    </row>
    <row r="2" spans="2:9" x14ac:dyDescent="0.3">
      <c r="B2">
        <v>1</v>
      </c>
      <c r="C2" t="s">
        <v>19</v>
      </c>
      <c r="D2">
        <v>123</v>
      </c>
      <c r="F2" s="2" t="s">
        <v>17</v>
      </c>
      <c r="G2" s="2" t="s">
        <v>18</v>
      </c>
      <c r="H2" s="2" t="s">
        <v>33</v>
      </c>
      <c r="I2" s="2" t="s">
        <v>34</v>
      </c>
    </row>
    <row r="3" spans="2:9" x14ac:dyDescent="0.3">
      <c r="B3">
        <v>1</v>
      </c>
      <c r="C3" t="s">
        <v>19</v>
      </c>
      <c r="D3">
        <v>234</v>
      </c>
      <c r="F3" s="2">
        <v>1</v>
      </c>
      <c r="G3" s="2" t="s">
        <v>19</v>
      </c>
      <c r="H3" s="2">
        <v>123</v>
      </c>
      <c r="I3" s="2">
        <v>234</v>
      </c>
    </row>
    <row r="4" spans="2:9" x14ac:dyDescent="0.3">
      <c r="B4">
        <v>2</v>
      </c>
      <c r="C4" t="s">
        <v>20</v>
      </c>
      <c r="D4">
        <v>207</v>
      </c>
      <c r="F4" s="2">
        <v>2</v>
      </c>
      <c r="G4" s="2" t="s">
        <v>20</v>
      </c>
      <c r="H4" s="2">
        <v>207</v>
      </c>
      <c r="I4" s="2"/>
    </row>
    <row r="5" spans="2:9" x14ac:dyDescent="0.3">
      <c r="B5">
        <v>3</v>
      </c>
      <c r="C5" t="s">
        <v>31</v>
      </c>
      <c r="D5">
        <v>450</v>
      </c>
      <c r="F5" s="2">
        <v>3</v>
      </c>
      <c r="G5" s="2" t="s">
        <v>31</v>
      </c>
      <c r="H5" s="2">
        <v>450</v>
      </c>
      <c r="I5" s="2"/>
    </row>
    <row r="6" spans="2:9" x14ac:dyDescent="0.3">
      <c r="B6">
        <v>4</v>
      </c>
      <c r="C6" t="s">
        <v>28</v>
      </c>
      <c r="D6">
        <v>231</v>
      </c>
      <c r="F6" s="2">
        <v>4</v>
      </c>
      <c r="G6" s="2" t="s">
        <v>28</v>
      </c>
      <c r="H6" s="2">
        <v>231</v>
      </c>
      <c r="I6" s="2"/>
    </row>
    <row r="7" spans="2:9" x14ac:dyDescent="0.3">
      <c r="B7">
        <v>5</v>
      </c>
      <c r="C7" t="s">
        <v>32</v>
      </c>
      <c r="D7">
        <v>333</v>
      </c>
      <c r="F7" s="2">
        <v>5</v>
      </c>
      <c r="G7" s="2" t="s">
        <v>32</v>
      </c>
      <c r="H7" s="2">
        <v>333</v>
      </c>
      <c r="I7" s="2">
        <v>343</v>
      </c>
    </row>
    <row r="8" spans="2:9" x14ac:dyDescent="0.3">
      <c r="B8">
        <v>5</v>
      </c>
      <c r="C8" t="s">
        <v>32</v>
      </c>
      <c r="D8">
        <v>343</v>
      </c>
    </row>
    <row r="10" spans="2:9" x14ac:dyDescent="0.3">
      <c r="D10" s="4" t="s">
        <v>13</v>
      </c>
    </row>
    <row r="12" spans="2:9" x14ac:dyDescent="0.3">
      <c r="D12" s="2" t="s">
        <v>37</v>
      </c>
      <c r="E12" s="2" t="s">
        <v>38</v>
      </c>
      <c r="G12" s="2" t="s">
        <v>37</v>
      </c>
      <c r="H12" s="2" t="s">
        <v>38</v>
      </c>
    </row>
    <row r="13" spans="2:9" x14ac:dyDescent="0.3">
      <c r="D13" s="2">
        <v>0</v>
      </c>
      <c r="E13" s="3">
        <v>0</v>
      </c>
      <c r="G13" s="2">
        <v>27000</v>
      </c>
      <c r="H13" s="5">
        <f>VLOOKUP(G13,$D$13:$E$17,2,1)</f>
        <v>0.15</v>
      </c>
    </row>
    <row r="14" spans="2:9" x14ac:dyDescent="0.3">
      <c r="D14" s="2">
        <v>10000</v>
      </c>
      <c r="E14" s="3">
        <v>0.1</v>
      </c>
      <c r="G14" s="2">
        <v>32000</v>
      </c>
      <c r="H14" s="5">
        <f t="shared" ref="H14:H15" si="0">VLOOKUP(G14,$D$13:$E$17,2,1)</f>
        <v>0.2</v>
      </c>
    </row>
    <row r="15" spans="2:9" x14ac:dyDescent="0.3">
      <c r="D15" s="2">
        <v>20000</v>
      </c>
      <c r="E15" s="3">
        <v>0.15</v>
      </c>
      <c r="G15" s="2">
        <v>29000</v>
      </c>
      <c r="H15" s="5">
        <f t="shared" si="0"/>
        <v>0.15</v>
      </c>
    </row>
    <row r="16" spans="2:9" x14ac:dyDescent="0.3">
      <c r="D16" s="2">
        <v>30000</v>
      </c>
      <c r="E16" s="3">
        <v>0.2</v>
      </c>
    </row>
    <row r="17" spans="4:10" x14ac:dyDescent="0.3">
      <c r="D17" s="2">
        <v>40000</v>
      </c>
      <c r="E17" s="3">
        <v>0.25</v>
      </c>
    </row>
    <row r="19" spans="4:10" x14ac:dyDescent="0.3">
      <c r="E19" s="4" t="s">
        <v>14</v>
      </c>
    </row>
    <row r="20" spans="4:10" x14ac:dyDescent="0.3">
      <c r="E20" s="2" t="s">
        <v>17</v>
      </c>
      <c r="F20" s="2">
        <v>1</v>
      </c>
      <c r="G20" s="2">
        <v>2</v>
      </c>
      <c r="H20" s="2">
        <v>3</v>
      </c>
      <c r="I20" s="2">
        <v>4</v>
      </c>
    </row>
    <row r="21" spans="4:10" x14ac:dyDescent="0.3">
      <c r="E21" s="2" t="s">
        <v>18</v>
      </c>
      <c r="F21" s="2" t="s">
        <v>19</v>
      </c>
      <c r="G21" s="2" t="s">
        <v>40</v>
      </c>
      <c r="H21" s="2" t="s">
        <v>41</v>
      </c>
      <c r="I21" s="2" t="s">
        <v>42</v>
      </c>
    </row>
    <row r="22" spans="4:10" x14ac:dyDescent="0.3">
      <c r="E22" s="2" t="s">
        <v>39</v>
      </c>
      <c r="F22" s="2">
        <v>23</v>
      </c>
      <c r="G22" s="2">
        <v>22</v>
      </c>
      <c r="H22" s="2">
        <v>31</v>
      </c>
      <c r="I22" s="2">
        <v>40</v>
      </c>
    </row>
    <row r="23" spans="4:10" x14ac:dyDescent="0.3">
      <c r="I23" t="s">
        <v>43</v>
      </c>
    </row>
    <row r="24" spans="4:10" x14ac:dyDescent="0.3">
      <c r="E24" t="s">
        <v>17</v>
      </c>
      <c r="F24">
        <v>1</v>
      </c>
      <c r="G24">
        <v>4</v>
      </c>
    </row>
    <row r="25" spans="4:10" x14ac:dyDescent="0.3">
      <c r="E25" t="s">
        <v>39</v>
      </c>
      <c r="F25">
        <f>HLOOKUP(F24,$F$20:$I$22,3,0)</f>
        <v>23</v>
      </c>
      <c r="G25">
        <f>HLOOKUP(G24,$F$20:$I$22,3,0)</f>
        <v>40</v>
      </c>
    </row>
    <row r="29" spans="4:10" x14ac:dyDescent="0.3">
      <c r="E29" s="2" t="s">
        <v>37</v>
      </c>
      <c r="F29" s="2">
        <v>0</v>
      </c>
      <c r="G29" s="2">
        <v>10000</v>
      </c>
      <c r="H29" s="2">
        <v>20000</v>
      </c>
      <c r="I29" s="2">
        <v>30000</v>
      </c>
      <c r="J29" s="2">
        <v>40000</v>
      </c>
    </row>
    <row r="30" spans="4:10" x14ac:dyDescent="0.3">
      <c r="E30" s="2" t="s">
        <v>38</v>
      </c>
      <c r="F30" s="3">
        <v>0</v>
      </c>
      <c r="G30" s="3">
        <v>0.1</v>
      </c>
      <c r="H30" s="3">
        <v>0.15</v>
      </c>
      <c r="I30" s="3">
        <v>0.2</v>
      </c>
      <c r="J30" s="3">
        <v>0.25</v>
      </c>
    </row>
    <row r="33" spans="5:8" x14ac:dyDescent="0.3">
      <c r="E33" s="2" t="s">
        <v>37</v>
      </c>
      <c r="F33" s="2">
        <v>27000</v>
      </c>
      <c r="G33" s="2">
        <v>32000</v>
      </c>
      <c r="H33" s="2">
        <v>29000</v>
      </c>
    </row>
    <row r="34" spans="5:8" x14ac:dyDescent="0.3">
      <c r="E34" s="2" t="s">
        <v>38</v>
      </c>
      <c r="F34" s="5">
        <f>HLOOKUP(F33,$F$29:$J$30,2,1)</f>
        <v>0.15</v>
      </c>
      <c r="G34" s="5">
        <f t="shared" ref="G34:H34" si="1">HLOOKUP(G33,$F$29:$J$30,2,1)</f>
        <v>0.2</v>
      </c>
      <c r="H34" s="5">
        <f t="shared" si="1"/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89DE-C1F7-4171-9E43-F4308F2F574A}">
  <dimension ref="D2:G27"/>
  <sheetViews>
    <sheetView topLeftCell="A7" workbookViewId="0">
      <selection activeCell="I9" sqref="I9"/>
    </sheetView>
  </sheetViews>
  <sheetFormatPr defaultRowHeight="14.4" x14ac:dyDescent="0.3"/>
  <cols>
    <col min="4" max="4" width="19.6640625" customWidth="1"/>
  </cols>
  <sheetData>
    <row r="2" spans="4:7" x14ac:dyDescent="0.3">
      <c r="D2" t="s">
        <v>45</v>
      </c>
    </row>
    <row r="4" spans="4:7" x14ac:dyDescent="0.3">
      <c r="E4">
        <v>12</v>
      </c>
      <c r="F4">
        <v>35</v>
      </c>
      <c r="G4" t="s">
        <v>46</v>
      </c>
    </row>
    <row r="5" spans="4:7" x14ac:dyDescent="0.3">
      <c r="E5">
        <v>20</v>
      </c>
      <c r="F5">
        <v>48</v>
      </c>
    </row>
    <row r="7" spans="4:7" x14ac:dyDescent="0.3">
      <c r="D7" t="s">
        <v>47</v>
      </c>
      <c r="E7">
        <v>77000</v>
      </c>
      <c r="F7">
        <v>70000</v>
      </c>
    </row>
    <row r="8" spans="4:7" x14ac:dyDescent="0.3">
      <c r="D8" t="s">
        <v>48</v>
      </c>
      <c r="E8">
        <v>23000</v>
      </c>
      <c r="F8">
        <v>23000</v>
      </c>
    </row>
    <row r="9" spans="4:7" x14ac:dyDescent="0.3">
      <c r="D9" t="s">
        <v>49</v>
      </c>
      <c r="E9">
        <v>4000</v>
      </c>
      <c r="F9">
        <v>4000</v>
      </c>
    </row>
    <row r="11" spans="4:7" x14ac:dyDescent="0.3">
      <c r="D11" t="s">
        <v>50</v>
      </c>
      <c r="E11">
        <f>E7-(E8+E9)</f>
        <v>50000</v>
      </c>
      <c r="F11">
        <f>F7-(F8+F9)</f>
        <v>43000</v>
      </c>
    </row>
    <row r="14" spans="4:7" x14ac:dyDescent="0.3">
      <c r="D14" t="s">
        <v>51</v>
      </c>
      <c r="E14">
        <v>10000</v>
      </c>
    </row>
    <row r="15" spans="4:7" x14ac:dyDescent="0.3">
      <c r="D15" t="s">
        <v>48</v>
      </c>
      <c r="E15">
        <v>7000</v>
      </c>
    </row>
    <row r="17" spans="4:7" x14ac:dyDescent="0.3">
      <c r="D17" t="s">
        <v>50</v>
      </c>
      <c r="E17">
        <f>E14-E15</f>
        <v>3000</v>
      </c>
      <c r="F17">
        <v>5000</v>
      </c>
      <c r="G17">
        <v>7000</v>
      </c>
    </row>
    <row r="20" spans="4:7" x14ac:dyDescent="0.3">
      <c r="D20" t="s">
        <v>52</v>
      </c>
      <c r="E20">
        <v>50</v>
      </c>
    </row>
    <row r="21" spans="4:7" x14ac:dyDescent="0.3">
      <c r="D21" t="s">
        <v>53</v>
      </c>
      <c r="E21">
        <v>500</v>
      </c>
    </row>
    <row r="22" spans="4:7" x14ac:dyDescent="0.3">
      <c r="D22" t="s">
        <v>54</v>
      </c>
      <c r="E22">
        <v>10000</v>
      </c>
    </row>
    <row r="23" spans="4:7" x14ac:dyDescent="0.3">
      <c r="D23" t="s">
        <v>58</v>
      </c>
      <c r="E23">
        <v>20</v>
      </c>
    </row>
    <row r="24" spans="4:7" x14ac:dyDescent="0.3">
      <c r="D24" t="s">
        <v>55</v>
      </c>
      <c r="E24">
        <f>E20*E21</f>
        <v>25000</v>
      </c>
      <c r="F24" t="str">
        <f ca="1">_xlfn.FORMULATEXT(E24)</f>
        <v>=E20*E21</v>
      </c>
    </row>
    <row r="25" spans="4:7" x14ac:dyDescent="0.3">
      <c r="D25" t="s">
        <v>56</v>
      </c>
      <c r="E25">
        <f>E21*E23</f>
        <v>10000</v>
      </c>
      <c r="F25" t="str">
        <f t="shared" ref="F25:F27" ca="1" si="0">_xlfn.FORMULATEXT(E25)</f>
        <v>=E21*E23</v>
      </c>
    </row>
    <row r="26" spans="4:7" x14ac:dyDescent="0.3">
      <c r="D26" t="s">
        <v>57</v>
      </c>
      <c r="E26">
        <f>E22+E25</f>
        <v>20000</v>
      </c>
      <c r="F26" t="str">
        <f t="shared" ca="1" si="0"/>
        <v>=E22+E25</v>
      </c>
    </row>
    <row r="27" spans="4:7" x14ac:dyDescent="0.3">
      <c r="D27" t="s">
        <v>50</v>
      </c>
      <c r="E27">
        <f>E24-E26</f>
        <v>5000</v>
      </c>
      <c r="F27" t="str">
        <f t="shared" ca="1" si="0"/>
        <v>=E24-E26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89A5-B0D5-4C02-A576-BCF1CCFE5711}">
  <dimension ref="A1:E5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.6640625" bestFit="1" customWidth="1"/>
    <col min="4" max="4" width="6" bestFit="1" customWidth="1"/>
    <col min="5" max="5" width="10.77734375" bestFit="1" customWidth="1"/>
  </cols>
  <sheetData>
    <row r="1" spans="1:5" x14ac:dyDescent="0.3">
      <c r="A1" s="6" t="s">
        <v>59</v>
      </c>
      <c r="B1" s="6" t="s">
        <v>62</v>
      </c>
    </row>
    <row r="2" spans="1:5" x14ac:dyDescent="0.3">
      <c r="A2" s="6" t="s">
        <v>60</v>
      </c>
      <c r="B2" t="s">
        <v>11</v>
      </c>
      <c r="C2" t="s">
        <v>12</v>
      </c>
      <c r="D2" t="s">
        <v>10</v>
      </c>
      <c r="E2" t="s">
        <v>61</v>
      </c>
    </row>
    <row r="3" spans="1:5" x14ac:dyDescent="0.3">
      <c r="A3" s="7" t="s">
        <v>9</v>
      </c>
      <c r="B3">
        <v>244</v>
      </c>
      <c r="C3">
        <v>166</v>
      </c>
      <c r="D3">
        <v>272</v>
      </c>
      <c r="E3">
        <v>682</v>
      </c>
    </row>
    <row r="4" spans="1:5" x14ac:dyDescent="0.3">
      <c r="A4" s="7" t="s">
        <v>8</v>
      </c>
      <c r="B4">
        <v>471</v>
      </c>
      <c r="C4">
        <v>197</v>
      </c>
      <c r="D4">
        <v>170</v>
      </c>
      <c r="E4">
        <v>838</v>
      </c>
    </row>
    <row r="5" spans="1:5" x14ac:dyDescent="0.3">
      <c r="A5" s="7" t="s">
        <v>61</v>
      </c>
      <c r="B5">
        <v>715</v>
      </c>
      <c r="C5">
        <v>363</v>
      </c>
      <c r="D5">
        <v>442</v>
      </c>
      <c r="E5">
        <v>1520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0EA95-FF8B-4071-8B41-68344FBDA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Sandeep Patel</cp:lastModifiedBy>
  <dcterms:created xsi:type="dcterms:W3CDTF">2019-05-01T07:44:16Z</dcterms:created>
  <dcterms:modified xsi:type="dcterms:W3CDTF">2026-04-05T12:04:58Z</dcterms:modified>
</cp:coreProperties>
</file>